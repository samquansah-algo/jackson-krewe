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aso MVP" sheetId="2" state="visible" r:id="rId4"/>
    <sheet name="Features &amp; Benefits Matrix" sheetId="3" state="visible" r:id="rId5"/>
    <sheet name="Competitor Profiles" sheetId="4" state="visible" r:id="rId6"/>
    <sheet name="Positioning" sheetId="5" state="visible" r:id="rId7"/>
    <sheet name="Sources" sheetId="6" state="visible" r:id="rId8"/>
  </sheets>
  <definedNames>
    <definedName function="false" hidden="false" localSheetId="3" name="_xlnm.Print_Titles" vbProcedure="false">'Competitor Profiles'!$4:$4</definedName>
    <definedName function="false" hidden="false" localSheetId="2" name="_xlnm.Print_Titles" vbProcedure="false">'Features &amp; Benefits Matrix'!$4:$4</definedName>
    <definedName function="false" hidden="false" localSheetId="1" name="_xlnm.Print_Titles" vbProcedure="false">'Paso MVP'!$4:$4</definedName>
    <definedName function="false" hidden="false" localSheetId="4" name="_xlnm.Print_Titles" vbProcedure="false">Positioning!$4:$4</definedName>
    <definedName function="false" hidden="false" localSheetId="5" name="_xlnm.Print_Titles" vbProcedure="false">Sources!$4:$4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7" authorId="0">
      <text>
        <r>
          <rPr>
            <sz val="10"/>
            <rFont val="Arial"/>
            <family val="2"/>
          </rPr>
          <t xml:space="preserve">Planned: photos by WhatsApp or a web form.</t>
        </r>
      </text>
    </comment>
    <comment ref="D8" authorId="0">
      <text>
        <r>
          <rPr>
            <sz val="10"/>
            <rFont val="Arial"/>
            <family val="2"/>
          </rPr>
          <t xml:space="preserve">Planned: works from photos or copies the family has.</t>
        </r>
      </text>
    </comment>
    <comment ref="D9" authorId="0">
      <text>
        <r>
          <rPr>
            <sz val="10"/>
            <rFont val="Arial"/>
            <family val="2"/>
          </rPr>
          <t xml:space="preserve">Planned: AI translation checked by a bilingual reviewer.</t>
        </r>
      </text>
    </comment>
    <comment ref="D10" authorId="0">
      <text>
        <r>
          <rPr>
            <sz val="10"/>
            <rFont val="Arial"/>
            <family val="2"/>
          </rPr>
          <t xml:space="preserve">Planned: in the MVP a team member uses Claude by hand.</t>
        </r>
      </text>
    </comment>
    <comment ref="D11" authorId="0">
      <text>
        <r>
          <rPr>
            <sz val="10"/>
            <rFont val="Arial"/>
            <family val="2"/>
          </rPr>
          <t xml:space="preserve">Not in the MVP: Paso records where each document came from.</t>
        </r>
      </text>
    </comment>
    <comment ref="D13" authorId="0">
      <text>
        <r>
          <rPr>
            <sz val="10"/>
            <rFont val="Arial"/>
            <family val="2"/>
          </rPr>
          <t xml:space="preserve">Planned: ages 11-18.</t>
        </r>
      </text>
    </comment>
    <comment ref="D14" authorId="0">
      <text>
        <r>
          <rPr>
            <sz val="10"/>
            <rFont val="Arial"/>
            <family val="2"/>
          </rPr>
          <t xml:space="preserve">Planned.</t>
        </r>
      </text>
    </comment>
    <comment ref="D15" authorId="0">
      <text>
        <r>
          <rPr>
            <sz val="10"/>
            <rFont val="Arial"/>
            <family val="2"/>
          </rPr>
          <t xml:space="preserve">Planned: credits per local course.</t>
        </r>
      </text>
    </comment>
    <comment ref="D16" authorId="0">
      <text>
        <r>
          <rPr>
            <sz val="10"/>
            <rFont val="Arial"/>
            <family val="2"/>
          </rPr>
          <t xml:space="preserve">Planned: grade, courses and credits for the student's district.</t>
        </r>
      </text>
    </comment>
    <comment ref="D18" authorId="0">
      <text>
        <r>
          <rPr>
            <sz val="10"/>
            <rFont val="Arial"/>
            <family val="2"/>
          </rPr>
          <t xml:space="preserve">Planned: 30-minute check of reading, math and English.</t>
        </r>
      </text>
    </comment>
    <comment ref="D19" authorId="0">
      <text>
        <r>
          <rPr>
            <sz val="10"/>
            <rFont val="Arial"/>
            <family val="2"/>
          </rPr>
          <t xml:space="preserve">Not in the MVP: a fixed paper check.</t>
        </r>
      </text>
    </comment>
    <comment ref="D20" authorId="0">
      <text>
        <r>
          <rPr>
            <sz val="10"/>
            <rFont val="Arial"/>
            <family val="2"/>
          </rPr>
          <t xml:space="preserve">Planned: instructions in the student's language; reading also checked in the home language when a bilingual reviewer is available.</t>
        </r>
      </text>
    </comment>
    <comment ref="D21" authorId="0">
      <text>
        <r>
          <rPr>
            <sz val="10"/>
            <rFont val="Arial"/>
            <family val="2"/>
          </rPr>
          <t xml:space="preserve">Planned: short English task in the skills check.</t>
        </r>
      </text>
    </comment>
    <comment ref="D23" authorId="0">
      <text>
        <r>
          <rPr>
            <sz val="10"/>
            <rFont val="Arial"/>
            <family val="2"/>
          </rPr>
          <t xml:space="preserve">Planned: grade, courses, credits and next steps.</t>
        </r>
      </text>
    </comment>
    <comment ref="D24" authorId="0">
      <text>
        <r>
          <rPr>
            <sz val="10"/>
            <rFont val="Arial"/>
            <family val="2"/>
          </rPr>
          <t xml:space="preserve">Planned: Paso's curve-jumping feature.</t>
        </r>
      </text>
    </comment>
    <comment ref="D25" authorId="0">
      <text>
        <r>
          <rPr>
            <sz val="10"/>
            <rFont val="Arial"/>
            <family val="2"/>
          </rPr>
          <t xml:space="preserve">Planned: next steps in the plan.</t>
        </r>
      </text>
    </comment>
    <comment ref="D26" authorId="0">
      <text>
        <r>
          <rPr>
            <sz val="10"/>
            <rFont val="Arial"/>
            <family val="2"/>
          </rPr>
          <t xml:space="preserve">Not in the MVP.</t>
        </r>
      </text>
    </comment>
    <comment ref="D28" authorId="0">
      <text>
        <r>
          <rPr>
            <sz val="10"/>
            <rFont val="Arial"/>
            <family val="2"/>
          </rPr>
          <t xml:space="preserve">Planned: one-page family plan at about a 6th-grade reading level.</t>
        </r>
      </text>
    </comment>
    <comment ref="D29" authorId="0">
      <text>
        <r>
          <rPr>
            <sz val="10"/>
            <rFont val="Arial"/>
            <family val="2"/>
          </rPr>
          <t xml:space="preserve">Planned: family plan in the home language.</t>
        </r>
      </text>
    </comment>
    <comment ref="D31" authorId="0">
      <text>
        <r>
          <rPr>
            <sz val="10"/>
            <rFont val="Arial"/>
            <family val="2"/>
          </rPr>
          <t xml:space="preserve">Planned: WhatsApp or print.</t>
        </r>
      </text>
    </comment>
    <comment ref="D35" authorId="0">
      <text>
        <r>
          <rPr>
            <sz val="10"/>
            <rFont val="Arial"/>
            <family val="2"/>
          </rPr>
          <t xml:space="preserve">Planned: school letter and family plan templates.</t>
        </r>
      </text>
    </comment>
    <comment ref="D36" authorId="0">
      <text>
        <r>
          <rPr>
            <sz val="10"/>
            <rFont val="Arial"/>
            <family val="2"/>
          </rPr>
          <t xml:space="preserve">MVP: shared case tracker.</t>
        </r>
      </text>
    </comment>
    <comment ref="D37" authorId="0">
      <text>
        <r>
          <rPr>
            <sz val="10"/>
            <rFont val="Arial"/>
            <family val="2"/>
          </rPr>
          <t xml:space="preserve">MVP: tracker reports turnaround and staff time.</t>
        </r>
      </text>
    </comment>
    <comment ref="D40" authorId="0">
      <text>
        <r>
          <rPr>
            <sz val="10"/>
            <rFont val="Arial"/>
            <family val="2"/>
          </rPr>
          <t xml:space="preserve">Target, not a result: 3 business days.</t>
        </r>
      </text>
    </comment>
    <comment ref="D42" authorId="0">
      <text>
        <r>
          <rPr>
            <sz val="10"/>
            <rFont val="Arial"/>
            <family val="2"/>
          </rPr>
          <t xml:space="preserve">Planned: reviewer checklist and sign-off.</t>
        </r>
      </text>
    </comment>
    <comment ref="D43" authorId="0">
      <text>
        <r>
          <rPr>
            <sz val="10"/>
            <rFont val="Arial"/>
            <family val="2"/>
          </rPr>
          <t xml:space="preserve">Planned: consent, limited access, no immigration-status questions.</t>
        </r>
      </text>
    </comment>
    <comment ref="D44" authorId="0">
      <text>
        <r>
          <rPr>
            <sz val="10"/>
            <rFont val="Arial"/>
            <family val="2"/>
          </rPr>
          <t xml:space="preserve">Planned: built with resettlement affiliates.</t>
        </r>
      </text>
    </comment>
    <comment ref="D46" authorId="0">
      <text>
        <r>
          <rPr>
            <sz val="10"/>
            <rFont val="Arial"/>
            <family val="2"/>
          </rPr>
          <t xml:space="preserve">Hypothesis H3: $30 per student, not yet validated.</t>
        </r>
      </text>
    </comment>
    <comment ref="D47" authorId="0">
      <text>
        <r>
          <rPr>
            <sz val="10"/>
            <rFont val="Arial"/>
            <family val="2"/>
          </rPr>
          <t xml:space="preserve">Team document: families never pay.</t>
        </r>
      </text>
    </comment>
    <comment ref="D48" authorId="0">
      <text>
        <r>
          <rPr>
            <sz val="10"/>
            <rFont val="Arial"/>
            <family val="2"/>
          </rPr>
          <t xml:space="preserve">Team document: affiliates pay from youth-services or case-management budgets.</t>
        </r>
      </text>
    </comment>
    <comment ref="D49" authorId="0">
      <text>
        <r>
          <rPr>
            <sz val="10"/>
            <rFont val="Arial"/>
            <family val="2"/>
          </rPr>
          <t xml:space="preserve">Phase two, after the nonprofit workflow is validated.</t>
        </r>
      </text>
    </comment>
    <comment ref="E7" authorId="0">
      <text>
        <r>
          <rPr>
            <sz val="10"/>
            <rFont val="Arial"/>
            <family val="2"/>
          </rPr>
          <t xml:space="preserve">S7: electronic academic records through approved means.</t>
        </r>
      </text>
    </comment>
    <comment ref="E8" authorId="0">
      <text>
        <r>
          <rPr>
            <sz val="10"/>
            <rFont val="Arial"/>
            <family val="2"/>
          </rPr>
          <t xml:space="preserve">S8: Gateway Program only (eligible displaced people, listed countries, completed high school or college study).</t>
        </r>
      </text>
    </comment>
    <comment ref="E9" authorId="0">
      <text>
        <r>
          <rPr>
            <sz val="10"/>
            <rFont val="Arial"/>
            <family val="2"/>
          </rPr>
          <t xml:space="preserve">S6: does not offer translation; requires official word-for-word translations.</t>
        </r>
      </text>
    </comment>
    <comment ref="E11" authorId="0">
      <text>
        <r>
          <rPr>
            <sz val="10"/>
            <rFont val="Arial"/>
            <family val="2"/>
          </rPr>
          <t xml:space="preserve">S5</t>
        </r>
      </text>
    </comment>
    <comment ref="E13" authorId="0">
      <text>
        <r>
          <rPr>
            <sz val="10"/>
            <rFont val="Arial"/>
            <family val="2"/>
          </rPr>
          <t xml:space="preserve">S2: high school and post-secondary credentials.</t>
        </r>
      </text>
    </comment>
    <comment ref="E14" authorId="0">
      <text>
        <r>
          <rPr>
            <sz val="10"/>
            <rFont val="Arial"/>
            <family val="2"/>
          </rPr>
          <t xml:space="preserve">S1</t>
        </r>
      </text>
    </comment>
    <comment ref="E15" authorId="0">
      <text>
        <r>
          <rPr>
            <sz val="10"/>
            <rFont val="Arial"/>
            <family val="2"/>
          </rPr>
          <t xml:space="preserve">S1: credits, grades and calculated GPA.</t>
        </r>
      </text>
    </comment>
    <comment ref="E16" authorId="0">
      <text>
        <r>
          <rPr>
            <sz val="10"/>
            <rFont val="Arial"/>
            <family val="2"/>
          </rPr>
          <t xml:space="preserve">S1: U.S. or Canadian equivalency, not a match to a district's courses.</t>
        </r>
      </text>
    </comment>
    <comment ref="E35" authorId="0">
      <text>
        <r>
          <rPr>
            <sz val="10"/>
            <rFont val="Arial"/>
            <family val="2"/>
          </rPr>
          <t xml:space="preserve">S10: Document-by-Document and Course-by-Course reports.</t>
        </r>
      </text>
    </comment>
    <comment ref="E40" authorId="0">
      <text>
        <r>
          <rPr>
            <sz val="10"/>
            <rFont val="Arial"/>
            <family val="2"/>
          </rPr>
          <t xml:space="preserve">S4: Document-by-Document about 1 week; Course-by-Course about 2 weeks (up to 4) after documents are verified.</t>
        </r>
      </text>
    </comment>
    <comment ref="E42" authorId="0">
      <text>
        <r>
          <rPr>
            <sz val="10"/>
            <rFont val="Arial"/>
            <family val="2"/>
          </rPr>
          <t xml:space="preserve">S6: WES evaluators verify translations during evaluation.</t>
        </r>
      </text>
    </comment>
    <comment ref="E44" authorId="0">
      <text>
        <r>
          <rPr>
            <sz val="10"/>
            <rFont val="Arial"/>
            <family val="2"/>
          </rPr>
          <t xml:space="preserve">S8: Gateway Program.</t>
        </r>
      </text>
    </comment>
    <comment ref="E46" authorId="0">
      <text>
        <r>
          <rPr>
            <sz val="10"/>
            <rFont val="Arial"/>
            <family val="2"/>
          </rPr>
          <t xml:space="preserve">S3: Course-by-Course from $186; Document-by-Document from $118.</t>
        </r>
      </text>
    </comment>
    <comment ref="E48" authorId="0">
      <text>
        <r>
          <rPr>
            <sz val="10"/>
            <rFont val="Arial"/>
            <family val="2"/>
          </rPr>
          <t xml:space="preserve">S8: partner organizations refer applicants to Gateway.</t>
        </r>
      </text>
    </comment>
    <comment ref="F7" authorId="0">
      <text>
        <r>
          <rPr>
            <sz val="10"/>
            <rFont val="Arial"/>
            <family val="2"/>
          </rPr>
          <t xml:space="preserve">S13: approved electronic document service.</t>
        </r>
      </text>
    </comment>
    <comment ref="F8" authorId="0">
      <text>
        <r>
          <rPr>
            <sz val="10"/>
            <rFont val="Arial"/>
            <family val="2"/>
          </rPr>
          <t xml:space="preserve">S13: requires official documents from the institution or an approved electronic service.</t>
        </r>
      </text>
    </comment>
    <comment ref="F9" authorId="0">
      <text>
        <r>
          <rPr>
            <sz val="10"/>
            <rFont val="Arial"/>
            <family val="2"/>
          </rPr>
          <t xml:space="preserve">S13: the $85 Translation Waiver removes the need to submit translations.</t>
        </r>
      </text>
    </comment>
    <comment ref="F10" authorId="0">
      <text>
        <r>
          <rPr>
            <sz val="10"/>
            <rFont val="Arial"/>
            <family val="2"/>
          </rPr>
          <t xml:space="preserve">S15: MyDocs Academic Profile, for institutions receiving Course by Course reports.</t>
        </r>
      </text>
    </comment>
    <comment ref="F11" authorId="0">
      <text>
        <r>
          <rPr>
            <sz val="10"/>
            <rFont val="Arial"/>
            <family val="2"/>
          </rPr>
          <t xml:space="preserve">S17, S18</t>
        </r>
      </text>
    </comment>
    <comment ref="F13" authorId="0">
      <text>
        <r>
          <rPr>
            <sz val="10"/>
            <rFont val="Arial"/>
            <family val="2"/>
          </rPr>
          <t xml:space="preserve">S11: Course by Course covers high school and university study.</t>
        </r>
      </text>
    </comment>
    <comment ref="F14" authorId="0">
      <text>
        <r>
          <rPr>
            <sz val="10"/>
            <rFont val="Arial"/>
            <family val="2"/>
          </rPr>
          <t xml:space="preserve">S11</t>
        </r>
      </text>
    </comment>
    <comment ref="F15" authorId="0">
      <text>
        <r>
          <rPr>
            <sz val="10"/>
            <rFont val="Arial"/>
            <family val="2"/>
          </rPr>
          <t xml:space="preserve">S11: GPA, credits and grades.</t>
        </r>
      </text>
    </comment>
    <comment ref="F16" authorId="0">
      <text>
        <r>
          <rPr>
            <sz val="10"/>
            <rFont val="Arial"/>
            <family val="2"/>
          </rPr>
          <t xml:space="preserve">S11: equivalency report, not a match to a district's courses.</t>
        </r>
      </text>
    </comment>
    <comment ref="F35" authorId="0">
      <text>
        <r>
          <rPr>
            <sz val="10"/>
            <rFont val="Arial"/>
            <family val="2"/>
          </rPr>
          <t xml:space="preserve">S11: standard report types.</t>
        </r>
      </text>
    </comment>
    <comment ref="F36" authorId="0">
      <text>
        <r>
          <rPr>
            <sz val="10"/>
            <rFont val="Arial"/>
            <family val="2"/>
          </rPr>
          <t xml:space="preserve">S16: ECE Dispatch, for institutions.</t>
        </r>
      </text>
    </comment>
    <comment ref="F40" authorId="0">
      <text>
        <r>
          <rPr>
            <sz val="10"/>
            <rFont val="Arial"/>
            <family val="2"/>
          </rPr>
          <t xml:space="preserve">S12: average 3-5 business days after all information is received.</t>
        </r>
      </text>
    </comment>
    <comment ref="F42" authorId="0">
      <text>
        <r>
          <rPr>
            <sz val="10"/>
            <rFont val="Arial"/>
            <family val="2"/>
          </rPr>
          <t xml:space="preserve">S17: country specialist evaluators review every file.</t>
        </r>
      </text>
    </comment>
    <comment ref="F44" authorId="0">
      <text>
        <r>
          <rPr>
            <sz val="10"/>
            <rFont val="Arial"/>
            <family val="2"/>
          </rPr>
          <t xml:space="preserve">S14: ECE Aid free reports via partner nonprofits.</t>
        </r>
      </text>
    </comment>
    <comment ref="F46" authorId="0">
      <text>
        <r>
          <rPr>
            <sz val="10"/>
            <rFont val="Arial"/>
            <family val="2"/>
          </rPr>
          <t xml:space="preserve">S11: General with GPA $180; Course by Course $199.</t>
        </r>
      </text>
    </comment>
    <comment ref="F47" authorId="0">
      <text>
        <r>
          <rPr>
            <sz val="10"/>
            <rFont val="Arial"/>
            <family val="2"/>
          </rPr>
          <t xml:space="preserve">S14: free only through an ECE Aid voucher for eligible refugees.</t>
        </r>
      </text>
    </comment>
    <comment ref="F48" authorId="0">
      <text>
        <r>
          <rPr>
            <sz val="10"/>
            <rFont val="Arial"/>
            <family val="2"/>
          </rPr>
          <t xml:space="preserve">S14: nonprofits distribute ECE Aid vouchers; they don't buy reports.</t>
        </r>
      </text>
    </comment>
    <comment ref="G18" authorId="0">
      <text>
        <r>
          <rPr>
            <sz val="10"/>
            <rFont val="Arial"/>
            <family val="2"/>
          </rPr>
          <t xml:space="preserve">S20</t>
        </r>
      </text>
    </comment>
    <comment ref="G19" authorId="0">
      <text>
        <r>
          <rPr>
            <sz val="10"/>
            <rFont val="Arial"/>
            <family val="2"/>
          </rPr>
          <t xml:space="preserve">S20: adaptive assessment.</t>
        </r>
      </text>
    </comment>
    <comment ref="G20" authorId="0">
      <text>
        <r>
          <rPr>
            <sz val="10"/>
            <rFont val="Arial"/>
            <family val="2"/>
          </rPr>
          <t xml:space="preserve">S21, S22: Spanish only (math K-12; reading K-8).</t>
        </r>
      </text>
    </comment>
    <comment ref="G23" authorId="0">
      <text>
        <r>
          <rPr>
            <sz val="10"/>
            <rFont val="Arial"/>
            <family val="2"/>
          </rPr>
          <t xml:space="preserve">S20: placement relative to grade level; no course or credit advice found.</t>
        </r>
      </text>
    </comment>
    <comment ref="G25" authorId="0">
      <text>
        <r>
          <rPr>
            <sz val="10"/>
            <rFont val="Arial"/>
            <family val="2"/>
          </rPr>
          <t xml:space="preserve">S20</t>
        </r>
      </text>
    </comment>
    <comment ref="G26" authorId="0">
      <text>
        <r>
          <rPr>
            <sz val="10"/>
            <rFont val="Arial"/>
            <family val="2"/>
          </rPr>
          <t xml:space="preserve">S24: online lessons, grades K-8.</t>
        </r>
      </text>
    </comment>
    <comment ref="G28" authorId="0">
      <text>
        <r>
          <rPr>
            <sz val="10"/>
            <rFont val="Arial"/>
            <family val="2"/>
          </rPr>
          <t xml:space="preserve">S23</t>
        </r>
      </text>
    </comment>
    <comment ref="G29" authorId="0">
      <text>
        <r>
          <rPr>
            <sz val="10"/>
            <rFont val="Arial"/>
            <family val="2"/>
          </rPr>
          <t xml:space="preserve">S23: Family Center in up to 18 languages; family reports in English and Spanish.</t>
        </r>
      </text>
    </comment>
    <comment ref="G32" authorId="0">
      <text>
        <r>
          <rPr>
            <sz val="10"/>
            <rFont val="Arial"/>
            <family val="2"/>
          </rPr>
          <t xml:space="preserve">S23</t>
        </r>
      </text>
    </comment>
    <comment ref="G37" authorId="0">
      <text>
        <r>
          <rPr>
            <sz val="10"/>
            <rFont val="Arial"/>
            <family val="2"/>
          </rPr>
          <t xml:space="preserve">S24: reports at student, class, school and district levels.</t>
        </r>
      </text>
    </comment>
    <comment ref="G39" authorId="0">
      <text>
        <r>
          <rPr>
            <sz val="10"/>
            <rFont val="Arial"/>
            <family val="2"/>
          </rPr>
          <t xml:space="preserve">Not verified on the i-Ready pages searched; left blank.</t>
        </r>
      </text>
    </comment>
    <comment ref="G43" authorId="0">
      <text>
        <r>
          <rPr>
            <sz val="10"/>
            <rFont val="Arial"/>
            <family val="2"/>
          </rPr>
          <t xml:space="preserve">S26</t>
        </r>
      </text>
    </comment>
    <comment ref="G46" authorId="0">
      <text>
        <r>
          <rPr>
            <sz val="10"/>
            <rFont val="Arial"/>
            <family val="2"/>
          </rPr>
          <t xml:space="preserve">S25: pricing through a sales representative.</t>
        </r>
      </text>
    </comment>
    <comment ref="G49" authorId="0">
      <text>
        <r>
          <rPr>
            <sz val="10"/>
            <rFont val="Arial"/>
            <family val="2"/>
          </rPr>
          <t xml:space="preserve">S25</t>
        </r>
      </text>
    </comment>
    <comment ref="H21" authorId="0">
      <text>
        <r>
          <rPr>
            <sz val="10"/>
            <rFont val="Arial"/>
            <family val="2"/>
          </rPr>
          <t xml:space="preserve">S32: Ellevation Benchmark ELD assessment.</t>
        </r>
      </text>
    </comment>
    <comment ref="H23" authorId="0">
      <text>
        <r>
          <rPr>
            <sz val="10"/>
            <rFont val="Arial"/>
            <family val="2"/>
          </rPr>
          <t xml:space="preserve">S28: placement into English-learner services.</t>
        </r>
      </text>
    </comment>
    <comment ref="H25" authorId="0">
      <text>
        <r>
          <rPr>
            <sz val="10"/>
            <rFont val="Arial"/>
            <family val="2"/>
          </rPr>
          <t xml:space="preserve">S31: per-student guidance by proficiency.</t>
        </r>
      </text>
    </comment>
    <comment ref="H26" authorId="0">
      <text>
        <r>
          <rPr>
            <sz val="10"/>
            <rFont val="Arial"/>
            <family val="2"/>
          </rPr>
          <t xml:space="preserve">S31: 70+ classroom activities.</t>
        </r>
      </text>
    </comment>
    <comment ref="H29" authorId="0">
      <text>
        <r>
          <rPr>
            <sz val="10"/>
            <rFont val="Arial"/>
            <family val="2"/>
          </rPr>
          <t xml:space="preserve">S30</t>
        </r>
      </text>
    </comment>
    <comment ref="H36" authorId="0">
      <text>
        <r>
          <rPr>
            <sz val="10"/>
            <rFont val="Arial"/>
            <family val="2"/>
          </rPr>
          <t xml:space="preserve">S28: unified student profile and program history.</t>
        </r>
      </text>
    </comment>
    <comment ref="H37" authorId="0">
      <text>
        <r>
          <rPr>
            <sz val="10"/>
            <rFont val="Arial"/>
            <family val="2"/>
          </rPr>
          <t xml:space="preserve">S29</t>
        </r>
      </text>
    </comment>
    <comment ref="H38" authorId="0">
      <text>
        <r>
          <rPr>
            <sz val="10"/>
            <rFont val="Arial"/>
            <family val="2"/>
          </rPr>
          <t xml:space="preserve">S29</t>
        </r>
      </text>
    </comment>
    <comment ref="H39" authorId="0">
      <text>
        <r>
          <rPr>
            <sz val="10"/>
            <rFont val="Arial"/>
            <family val="2"/>
          </rPr>
          <t xml:space="preserve">S34</t>
        </r>
      </text>
    </comment>
    <comment ref="H43" authorId="0">
      <text>
        <r>
          <rPr>
            <sz val="10"/>
            <rFont val="Arial"/>
            <family val="2"/>
          </rPr>
          <t xml:space="preserve">S33</t>
        </r>
      </text>
    </comment>
    <comment ref="H46" authorId="0">
      <text>
        <r>
          <rPr>
            <sz val="10"/>
            <rFont val="Arial"/>
            <family val="2"/>
          </rPr>
          <t xml:space="preserve">S35: priced by number of English learners; quote required.</t>
        </r>
      </text>
    </comment>
    <comment ref="H49" authorId="0">
      <text>
        <r>
          <rPr>
            <sz val="10"/>
            <rFont val="Arial"/>
            <family val="2"/>
          </rPr>
          <t xml:space="preserve">S35</t>
        </r>
      </text>
    </comment>
    <comment ref="I29" authorId="0">
      <text>
        <r>
          <rPr>
            <sz val="10"/>
            <rFont val="Arial"/>
            <family val="2"/>
          </rPr>
          <t xml:space="preserve">S37: 150+ languages.</t>
        </r>
      </text>
    </comment>
    <comment ref="I30" authorId="0">
      <text>
        <r>
          <rPr>
            <sz val="10"/>
            <rFont val="Arial"/>
            <family val="2"/>
          </rPr>
          <t xml:space="preserve">S37</t>
        </r>
      </text>
    </comment>
    <comment ref="I31" authorId="0">
      <text>
        <r>
          <rPr>
            <sz val="10"/>
            <rFont val="Arial"/>
            <family val="2"/>
          </rPr>
          <t xml:space="preserve">S38: text messages on paid school plans.</t>
        </r>
      </text>
    </comment>
    <comment ref="I32" authorId="0">
      <text>
        <r>
          <rPr>
            <sz val="10"/>
            <rFont val="Arial"/>
            <family val="2"/>
          </rPr>
          <t xml:space="preserve">S43: Academic Improvement Plus.</t>
        </r>
      </text>
    </comment>
    <comment ref="I33" authorId="0">
      <text>
        <r>
          <rPr>
            <sz val="10"/>
            <rFont val="Arial"/>
            <family val="2"/>
          </rPr>
          <t xml:space="preserve">S42: Engagement Insights.</t>
        </r>
      </text>
    </comment>
    <comment ref="I37" authorId="0">
      <text>
        <r>
          <rPr>
            <sz val="10"/>
            <rFont val="Arial"/>
            <family val="2"/>
          </rPr>
          <t xml:space="preserve">S42: Admin Analytics.</t>
        </r>
      </text>
    </comment>
    <comment ref="I39" authorId="0">
      <text>
        <r>
          <rPr>
            <sz val="10"/>
            <rFont val="Arial"/>
            <family val="2"/>
          </rPr>
          <t xml:space="preserve">S41</t>
        </r>
      </text>
    </comment>
    <comment ref="I43" authorId="0">
      <text>
        <r>
          <rPr>
            <sz val="10"/>
            <rFont val="Arial"/>
            <family val="2"/>
          </rPr>
          <t xml:space="preserve">S44</t>
        </r>
      </text>
    </comment>
    <comment ref="I46" authorId="0">
      <text>
        <r>
          <rPr>
            <sz val="10"/>
            <rFont val="Arial"/>
            <family val="2"/>
          </rPr>
          <t xml:space="preserve">S37, S41: free for teachers; school and district pricing not published.</t>
        </r>
      </text>
    </comment>
    <comment ref="I47" authorId="0">
      <text>
        <r>
          <rPr>
            <sz val="10"/>
            <rFont val="Arial"/>
            <family val="2"/>
          </rPr>
          <t xml:space="preserve">S38: free app or website; texts on paid school plans.</t>
        </r>
      </text>
    </comment>
    <comment ref="I49" authorId="0">
      <text>
        <r>
          <rPr>
            <sz val="10"/>
            <rFont val="Arial"/>
            <family val="2"/>
          </rPr>
          <t xml:space="preserve">S41</t>
        </r>
      </text>
    </comment>
    <comment ref="J9" authorId="0">
      <text>
        <r>
          <rPr>
            <sz val="10"/>
            <rFont val="Arial"/>
            <family val="2"/>
          </rPr>
          <t xml:space="preserve">S45: informal Google searches or unstandardized translation tools.</t>
        </r>
      </text>
    </comment>
    <comment ref="J29" authorId="0">
      <text>
        <r>
          <rPr>
            <sz val="10"/>
            <rFont val="Arial"/>
            <family val="2"/>
          </rPr>
          <t xml:space="preserve">S45: parents leave placement meetings confused, partly because of language barriers.</t>
        </r>
      </text>
    </comment>
    <comment ref="J35" authorId="0">
      <text>
        <r>
          <rPr>
            <sz val="10"/>
            <rFont val="Arial"/>
            <family val="2"/>
          </rPr>
          <t xml:space="preserve">S45: custom summary letters written from scratch for every case.</t>
        </r>
      </text>
    </comment>
    <comment ref="J40" authorId="0">
      <text>
        <r>
          <rPr>
            <sz val="10"/>
            <rFont val="Arial"/>
            <family val="2"/>
          </rPr>
          <t xml:space="preserve">S45: one Arabic transcript took over five hours across three weeks.</t>
        </r>
      </text>
    </comment>
  </commentList>
</comments>
</file>

<file path=xl/sharedStrings.xml><?xml version="1.0" encoding="utf-8"?>
<sst xmlns="http://schemas.openxmlformats.org/spreadsheetml/2006/main" count="874" uniqueCount="521">
  <si>
    <t xml:space="preserve">Paso Competitive Scan</t>
  </si>
  <si>
    <t xml:space="preserve">Team Assignment 5. HaYoung Kong, Samuel Quansah, Martin Sosa, Benjamin Karp. Competitor facts accessed 2026-10-05.</t>
  </si>
  <si>
    <t xml:space="preserve">Product</t>
  </si>
  <si>
    <t xml:space="preserve">Type</t>
  </si>
  <si>
    <t xml:space="preserve">Features (of 36)</t>
  </si>
  <si>
    <t xml:space="preserve">Benefits (of 36)</t>
  </si>
  <si>
    <t xml:space="preserve">Features no one else has</t>
  </si>
  <si>
    <t xml:space="preserve">Paso (planned MVP)</t>
  </si>
  <si>
    <t xml:space="preserve">Our venture (planned MVP)</t>
  </si>
  <si>
    <t xml:space="preserve">WES</t>
  </si>
  <si>
    <t xml:space="preserve">Direct: records</t>
  </si>
  <si>
    <t xml:space="preserve">ECE</t>
  </si>
  <si>
    <t xml:space="preserve">i-Ready</t>
  </si>
  <si>
    <t xml:space="preserve">Indirect: skills</t>
  </si>
  <si>
    <t xml:space="preserve">Ellevation</t>
  </si>
  <si>
    <t xml:space="preserve">Indirect: district EL platform</t>
  </si>
  <si>
    <t xml:space="preserve">TalkingPoints</t>
  </si>
  <si>
    <t xml:space="preserve">Indirect: family messaging</t>
  </si>
  <si>
    <t xml:space="preserve">Status quo (baseline)</t>
  </si>
  <si>
    <t xml:space="preserve">Baseline (not a competitor)</t>
  </si>
  <si>
    <t xml:space="preserve">Paso's column shows planned MVP features, not a live product. Paso figures are targets and hypotheses.</t>
  </si>
  <si>
    <t xml:space="preserve">Trends</t>
  </si>
  <si>
    <t xml:space="preserve">What categories of features and benefits do you notice?</t>
  </si>
  <si>
    <t xml:space="preserve">How do Paso's features and benefits compare with competitors'?</t>
  </si>
  <si>
    <t xml:space="preserve">Who are your main competitors? What are your differentiators?</t>
  </si>
  <si>
    <t xml:space="preserve">Main competitors are WES and ECE, which evaluate foreign records and both run refugee programs (WES Gateway, ECE Aid), and i-Ready, which schools use to find a student's level; Ellevation and TalkingPoints hold the district and family channels. Paso's differentiators: (1) every recommendation carries its proof: course-to-credit mapping, skills-check results and a reviewer's sign-off; (2) a local grade and course plan, not only a U.S. equivalency; (3) sold to resettlement nonprofits, and families never pay.</t>
  </si>
  <si>
    <t xml:space="preserve">Positioning statement</t>
  </si>
  <si>
    <t xml:space="preserve">For resettlement nonprofits enrolling newcomer teens, who wait weeks to place students because foreign records are hard to read and a wrong placement is costly, Paso is a starting-point planning service that turns photos of school records into a defensible plan (grade, courses, credits and next steps) in three business days (target), in the family's language. Unlike credential evaluators such as WES and ECE, Paso combines the record with a short skills check and matches it to local courses, not only to a U.S. equivalency.</t>
  </si>
  <si>
    <t xml:space="preserve">AI use</t>
  </si>
  <si>
    <t xml:space="preserve">We used Claude (Anthropic) to structure the competitive scan, check competitor features against their websites and format the workbook; the team selected the competitors, verified the findings and approved all content.</t>
  </si>
  <si>
    <t xml:space="preserve">Paso MVP: features and benefits</t>
  </si>
  <si>
    <t xml:space="preserve">Step 1. What the minimum viable product does, how the team runs it by hand now, and who benefits. Targets are hypotheses, not results.</t>
  </si>
  <si>
    <t xml:space="preserve">#</t>
  </si>
  <si>
    <t xml:space="preserve">Feature</t>
  </si>
  <si>
    <t xml:space="preserve">MVP (how we'll support it now)</t>
  </si>
  <si>
    <t xml:space="preserve">Benefit to the customer</t>
  </si>
  <si>
    <t xml:space="preserve">Curve-jumping</t>
  </si>
  <si>
    <t xml:space="preserve">Capture records by phone</t>
  </si>
  <si>
    <t xml:space="preserve">A case manager or family sends photos of report cards and transcripts by WhatsApp or a Google Form; a team member opens the case in a shared tracker.</t>
  </si>
  <si>
    <t xml:space="preserve">Case manager: starts a case the day records arrive, with whatever documents the family has, and no sealed envelopes or mailing.</t>
  </si>
  <si>
    <t xml:space="preserve">Read and translate records</t>
  </si>
  <si>
    <t xml:space="preserve">A team member uses Claude to read each photo and translate course names and grades into a template; a bilingual reviewer checks every line.</t>
  </si>
  <si>
    <t xml:space="preserve">Case manager: replaces "informal Google searches or unstandardized translation tools" (team interview). Target: prep time from about 4 to 2 staff hours per student.</t>
  </si>
  <si>
    <t xml:space="preserve">Map courses to local credits</t>
  </si>
  <si>
    <t xml:space="preserve">A shared Google Sheet matches each prior course to a local course and credit, and notes the evidence for each match.</t>
  </si>
  <si>
    <t xml:space="preserve">Student: gets credit for courses already passed instead of repeating them. School: sees the reasoning behind each credit.</t>
  </si>
  <si>
    <t xml:space="preserve">Check skills in 30 minutes</t>
  </si>
  <si>
    <t xml:space="preserve">A fixed paper check (reading, math with numbers and pictures, and a short English task) given at the affiliate office with an adult present and instructions in the student's language; scored with a rubric.</t>
  </si>
  <si>
    <t xml:space="preserve">Student: placed by what they can do now, even when records are missing or unclear.</t>
  </si>
  <si>
    <t xml:space="preserve">Sign off an evidence-backed plan</t>
  </si>
  <si>
    <t xml:space="preserve">A Google Docs plan template (grade, courses, credits, next steps) where every line cites its evidence; a trained reviewer completes a checklist and signs before release.</t>
  </si>
  <si>
    <t xml:space="preserve">Case manager: can stand behind a recommendation and move it forward. The interview found that "fear of placing a student in the wrong grade level causes staff to delay recommendations while they wait for school district responses."</t>
  </si>
  <si>
    <t xml:space="preserve">Yes</t>
  </si>
  <si>
    <t xml:space="preserve">Share the plan in the family's language</t>
  </si>
  <si>
    <t xml:space="preserve">A one-page family plan, about a 6th-grade reading level, translated and checked by a native speaker (Spanish and Arabic first), sent by WhatsApp or printed and walked through by the case manager.</t>
  </si>
  <si>
    <t xml:space="preserve">Family: understands where the student starts and what to ask the school (tests H1).</t>
  </si>
  <si>
    <t xml:space="preserve">Send a standard school letter</t>
  </si>
  <si>
    <t xml:space="preserve">A Google Docs letter template filled from the plan and sent by the case manager.</t>
  </si>
  <si>
    <t xml:space="preserve">Case manager: ends letters drafted "from scratch for every case" (team interview). School: receives the same clear format every time.</t>
  </si>
  <si>
    <t xml:space="preserve">Track every case</t>
  </si>
  <si>
    <t xml:space="preserve">A Google Sheet logs intake date, plan date and staff minutes for each case.</t>
  </si>
  <si>
    <t xml:space="preserve">Affiliate: shows funders turnaround and time saved. Target: about 2 weeks to 3 business days (tests H2).</t>
  </si>
  <si>
    <t xml:space="preserve">Protect family data</t>
  </si>
  <si>
    <t xml:space="preserve">Collect only school records and contact details, never immigration status; named team members only; signed consent; pilot data deleted on a set date.</t>
  </si>
  <si>
    <t xml:space="preserve">Family and affiliate: can trust Paso with a vulnerable group's records.</t>
  </si>
  <si>
    <t xml:space="preserve">Why the evidence-backed plan is curve-jumping</t>
  </si>
  <si>
    <t xml:space="preserve">Today a newcomer's starting point comes from a credential evaluation built for colleges and employers (official documents, weeks of waiting) or from a case manager's best guess. Paso jumps to a new curve by attaching proof to every recommendation: a course-to-credit mapping, skills-check results and a reviewer's sign-off, so staff can act the same week instead of waiting.</t>
  </si>
  <si>
    <t xml:space="preserve">MVP experience in 5 steps</t>
  </si>
  <si>
    <t xml:space="preserve">Step</t>
  </si>
  <si>
    <t xml:space="preserve">What happens</t>
  </si>
  <si>
    <t xml:space="preserve">One action</t>
  </si>
  <si>
    <t xml:space="preserve">1. Upload</t>
  </si>
  <si>
    <t xml:space="preserve">The case manager sends photos of the student's records.</t>
  </si>
  <si>
    <t xml:space="preserve">Send photos</t>
  </si>
  <si>
    <t xml:space="preserve">2. Read</t>
  </si>
  <si>
    <t xml:space="preserve">Paso translates every record and maps each course to a local course and credit.</t>
  </si>
  <si>
    <t xml:space="preserve">Confirm the student's details</t>
  </si>
  <si>
    <t xml:space="preserve">3. Check</t>
  </si>
  <si>
    <t xml:space="preserve">The student takes the 30-minute skills check with an adult present.</t>
  </si>
  <si>
    <t xml:space="preserve">Start the check</t>
  </si>
  <si>
    <t xml:space="preserve">4. Review</t>
  </si>
  <si>
    <t xml:space="preserve">A trained reviewer checks the evidence and signs the plan.</t>
  </si>
  <si>
    <t xml:space="preserve">Approve</t>
  </si>
  <si>
    <t xml:space="preserve">5. Plan delivered</t>
  </si>
  <si>
    <t xml:space="preserve">By day 3 (target), the family gets a one-page plan in their language at about a 6th-grade reading level, and the school gets a standard letter.</t>
  </si>
  <si>
    <t xml:space="preserve">Share the plan</t>
  </si>
  <si>
    <t xml:space="preserve">Not in the MVP</t>
  </si>
  <si>
    <t xml:space="preserve">Official placement decisions</t>
  </si>
  <si>
    <t xml:space="preserve">Schools decide; Paso recommends.</t>
  </si>
  <si>
    <t xml:space="preserve">AI-only plans</t>
  </si>
  <si>
    <t xml:space="preserve">Every plan carries a trained reviewer's sign-off.</t>
  </si>
  <si>
    <t xml:space="preserve">Document authentication</t>
  </si>
  <si>
    <t xml:space="preserve">Paso records where each document came from; a school or evaluator can authenticate when needed.</t>
  </si>
  <si>
    <t xml:space="preserve">District sales and SIS integration</t>
  </si>
  <si>
    <t xml:space="preserve">Districts are phase two, after the nonprofit workflow and demand are validated.</t>
  </si>
  <si>
    <t xml:space="preserve">A custom app or lesson content</t>
  </si>
  <si>
    <t xml:space="preserve">WhatsApp, forms and documents are enough to test the core job.</t>
  </si>
  <si>
    <t xml:space="preserve">Features &amp; Benefits Matrix</t>
  </si>
  <si>
    <t xml:space="preserve">x = offered (competitors: verified on their own website, see Sources; Paso: planned MVP). Blank = not offered or not verified. Hover a cell's red corner for its source.</t>
  </si>
  <si>
    <t xml:space="preserve">Category</t>
  </si>
  <si>
    <t xml:space="preserve">Feature / Benefit</t>
  </si>
  <si>
    <t xml:space="preserve">Total (of 7)</t>
  </si>
  <si>
    <t xml:space="preserve">FEATURES</t>
  </si>
  <si>
    <t xml:space="preserve">Record capture &amp; translation</t>
  </si>
  <si>
    <t xml:space="preserve">F1</t>
  </si>
  <si>
    <t xml:space="preserve">Receive records digitally</t>
  </si>
  <si>
    <t xml:space="preserve">x</t>
  </si>
  <si>
    <t xml:space="preserve">F2</t>
  </si>
  <si>
    <t xml:space="preserve">Accept copies when official records are missing</t>
  </si>
  <si>
    <t xml:space="preserve">F3</t>
  </si>
  <si>
    <t xml:space="preserve">Translate records into English</t>
  </si>
  <si>
    <t xml:space="preserve">F4</t>
  </si>
  <si>
    <t xml:space="preserve">Read transcripts with AI</t>
  </si>
  <si>
    <t xml:space="preserve">F5</t>
  </si>
  <si>
    <t xml:space="preserve">Verify authenticity with the issuing school</t>
  </si>
  <si>
    <t xml:space="preserve">Course &amp; credit mapping</t>
  </si>
  <si>
    <t xml:space="preserve">F6</t>
  </si>
  <si>
    <t xml:space="preserve">Evaluate secondary-school records</t>
  </si>
  <si>
    <t xml:space="preserve">F7</t>
  </si>
  <si>
    <t xml:space="preserve">Evaluate course by course</t>
  </si>
  <si>
    <t xml:space="preserve">F8</t>
  </si>
  <si>
    <t xml:space="preserve">Convert grades and credits to U.S. terms</t>
  </si>
  <si>
    <t xml:space="preserve">F9</t>
  </si>
  <si>
    <t xml:space="preserve">Match to local grade level and courses</t>
  </si>
  <si>
    <t xml:space="preserve">Skills assessment</t>
  </si>
  <si>
    <t xml:space="preserve">F10</t>
  </si>
  <si>
    <t xml:space="preserve">Assess reading and math</t>
  </si>
  <si>
    <t xml:space="preserve">F11</t>
  </si>
  <si>
    <t xml:space="preserve">Adapt questions to each student</t>
  </si>
  <si>
    <t xml:space="preserve">F12</t>
  </si>
  <si>
    <t xml:space="preserve">Test in the student's home language</t>
  </si>
  <si>
    <t xml:space="preserve">F13</t>
  </si>
  <si>
    <t xml:space="preserve">Measure English proficiency</t>
  </si>
  <si>
    <t xml:space="preserve">Recommendation &amp; decision support</t>
  </si>
  <si>
    <t xml:space="preserve">F14</t>
  </si>
  <si>
    <t xml:space="preserve">Recommend a starting point</t>
  </si>
  <si>
    <t xml:space="preserve">F15</t>
  </si>
  <si>
    <t xml:space="preserve">Combine records and skills results in one recommendation</t>
  </si>
  <si>
    <t xml:space="preserve">F16</t>
  </si>
  <si>
    <t xml:space="preserve">Suggest next instructional steps</t>
  </si>
  <si>
    <t xml:space="preserve">F17</t>
  </si>
  <si>
    <t xml:space="preserve">Provide lessons or classroom activities</t>
  </si>
  <si>
    <t xml:space="preserve">Family communication</t>
  </si>
  <si>
    <t xml:space="preserve">F18</t>
  </si>
  <si>
    <t xml:space="preserve">Give families a plain-language report</t>
  </si>
  <si>
    <t xml:space="preserve">F19</t>
  </si>
  <si>
    <t xml:space="preserve">Communicate in the family's language</t>
  </si>
  <si>
    <t xml:space="preserve">F20</t>
  </si>
  <si>
    <t xml:space="preserve">Send two-way translated messages</t>
  </si>
  <si>
    <t xml:space="preserve">F21</t>
  </si>
  <si>
    <t xml:space="preserve">Reach families without a new app</t>
  </si>
  <si>
    <t xml:space="preserve">F22</t>
  </si>
  <si>
    <t xml:space="preserve">Help families support learning at home</t>
  </si>
  <si>
    <t xml:space="preserve">F23</t>
  </si>
  <si>
    <t xml:space="preserve">Flag families who aren't being reached</t>
  </si>
  <si>
    <t xml:space="preserve">Case workflow &amp; reporting</t>
  </si>
  <si>
    <t xml:space="preserve">F24</t>
  </si>
  <si>
    <t xml:space="preserve">Use a standard report or letter</t>
  </si>
  <si>
    <t xml:space="preserve">F25</t>
  </si>
  <si>
    <t xml:space="preserve">Track each case online</t>
  </si>
  <si>
    <t xml:space="preserve">F26</t>
  </si>
  <si>
    <t xml:space="preserve">See program dashboards and reports</t>
  </si>
  <si>
    <t xml:space="preserve">F27</t>
  </si>
  <si>
    <t xml:space="preserve">Produce compliance reports</t>
  </si>
  <si>
    <t xml:space="preserve">F28</t>
  </si>
  <si>
    <t xml:space="preserve">Sync with student information systems</t>
  </si>
  <si>
    <t xml:space="preserve">F29</t>
  </si>
  <si>
    <t xml:space="preserve">Return results within one week</t>
  </si>
  <si>
    <t xml:space="preserve">Trust, privacy &amp; human review</t>
  </si>
  <si>
    <t xml:space="preserve">F30</t>
  </si>
  <si>
    <t xml:space="preserve">Have a trained person review every result</t>
  </si>
  <si>
    <t xml:space="preserve">F31</t>
  </si>
  <si>
    <t xml:space="preserve">Publish student-data privacy commitments</t>
  </si>
  <si>
    <t xml:space="preserve">F32</t>
  </si>
  <si>
    <t xml:space="preserve">Serve refugees and displaced people</t>
  </si>
  <si>
    <t xml:space="preserve">Access &amp; pricing</t>
  </si>
  <si>
    <t xml:space="preserve">F33</t>
  </si>
  <si>
    <t xml:space="preserve">Publish prices</t>
  </si>
  <si>
    <t xml:space="preserve">F34</t>
  </si>
  <si>
    <t xml:space="preserve">Free for families</t>
  </si>
  <si>
    <t xml:space="preserve">F35</t>
  </si>
  <si>
    <t xml:space="preserve">Sold to resettlement nonprofits</t>
  </si>
  <si>
    <t xml:space="preserve">F36</t>
  </si>
  <si>
    <t xml:space="preserve">Sold to schools and districts</t>
  </si>
  <si>
    <t xml:space="preserve">Features total (of 36)</t>
  </si>
  <si>
    <t xml:space="preserve">BENEFITS  (each benefit B# comes from feature F# with the same number)</t>
  </si>
  <si>
    <t xml:space="preserve">B1</t>
  </si>
  <si>
    <t xml:space="preserve">Cases start the day records arrive, with no mailing or sealed envelopes</t>
  </si>
  <si>
    <t xml:space="preserve">B2</t>
  </si>
  <si>
    <t xml:space="preserve">Students without official documents can still be evaluated</t>
  </si>
  <si>
    <t xml:space="preserve">B3</t>
  </si>
  <si>
    <t xml:space="preserve">Staff don't need to find or pay a separate translator</t>
  </si>
  <si>
    <t xml:space="preserve">B4</t>
  </si>
  <si>
    <t xml:space="preserve">Course data is pulled out in minutes, whatever the format or language</t>
  </si>
  <si>
    <t xml:space="preserve">B5</t>
  </si>
  <si>
    <t xml:space="preserve">Receivers can trust the documents are genuine</t>
  </si>
  <si>
    <t xml:space="preserve">B6</t>
  </si>
  <si>
    <t xml:space="preserve">Middle- and high-school learning is recognized, not only degrees</t>
  </si>
  <si>
    <t xml:space="preserve">B7</t>
  </si>
  <si>
    <t xml:space="preserve">Each prior course can count toward a requirement</t>
  </si>
  <si>
    <t xml:space="preserve">B8</t>
  </si>
  <si>
    <t xml:space="preserve">Schools read prior grades and credits on a familiar scale</t>
  </si>
  <si>
    <t xml:space="preserve">B9</t>
  </si>
  <si>
    <t xml:space="preserve">Students get credit for what they've done and repeat fewer courses</t>
  </si>
  <si>
    <t xml:space="preserve">B10</t>
  </si>
  <si>
    <t xml:space="preserve">Placement reflects what the student can do now</t>
  </si>
  <si>
    <t xml:space="preserve">B11</t>
  </si>
  <si>
    <t xml:space="preserve">Precise results with fewer questions</t>
  </si>
  <si>
    <t xml:space="preserve">B12</t>
  </si>
  <si>
    <t xml:space="preserve">Students show what they know before their English catches up</t>
  </si>
  <si>
    <t xml:space="preserve">B13</t>
  </si>
  <si>
    <t xml:space="preserve">Staff know how much English support a student needs</t>
  </si>
  <si>
    <t xml:space="preserve">B14</t>
  </si>
  <si>
    <t xml:space="preserve">Staff get a clear answer to where a student should begin</t>
  </si>
  <si>
    <t xml:space="preserve">B15</t>
  </si>
  <si>
    <t xml:space="preserve">One defensible answer instead of conflicting documents</t>
  </si>
  <si>
    <t xml:space="preserve">B16</t>
  </si>
  <si>
    <t xml:space="preserve">Teachers know what to teach first</t>
  </si>
  <si>
    <t xml:space="preserve">B17</t>
  </si>
  <si>
    <t xml:space="preserve">Teachers get ready-made material to act on results</t>
  </si>
  <si>
    <t xml:space="preserve">B18</t>
  </si>
  <si>
    <t xml:space="preserve">Families understand results without jargon</t>
  </si>
  <si>
    <t xml:space="preserve">B19</t>
  </si>
  <si>
    <t xml:space="preserve">Families can follow and question decisions</t>
  </si>
  <si>
    <t xml:space="preserve">B20</t>
  </si>
  <si>
    <t xml:space="preserve">Families can reply and ask questions in their own language</t>
  </si>
  <si>
    <t xml:space="preserve">B21</t>
  </si>
  <si>
    <t xml:space="preserve">Families get information on the phone they already use</t>
  </si>
  <si>
    <t xml:space="preserve">B22</t>
  </si>
  <si>
    <t xml:space="preserve">Families can help their child between school days</t>
  </si>
  <si>
    <t xml:space="preserve">B23</t>
  </si>
  <si>
    <t xml:space="preserve">Staff can target outreach to hard-to-reach families</t>
  </si>
  <si>
    <t xml:space="preserve">B24</t>
  </si>
  <si>
    <t xml:space="preserve">Staff stop writing from scratch; schools get one clear format</t>
  </si>
  <si>
    <t xml:space="preserve">B25</t>
  </si>
  <si>
    <t xml:space="preserve">Staff see where every case stands</t>
  </si>
  <si>
    <t xml:space="preserve">B26</t>
  </si>
  <si>
    <t xml:space="preserve">Leaders can report results to funders and boards</t>
  </si>
  <si>
    <t xml:space="preserve">B27</t>
  </si>
  <si>
    <t xml:space="preserve">Districts meet English-learner reporting rules</t>
  </si>
  <si>
    <t xml:space="preserve">B28</t>
  </si>
  <si>
    <t xml:space="preserve">No double data entry</t>
  </si>
  <si>
    <t xml:space="preserve">B29</t>
  </si>
  <si>
    <t xml:space="preserve">Families get answers before the term moves on</t>
  </si>
  <si>
    <t xml:space="preserve">B30</t>
  </si>
  <si>
    <t xml:space="preserve">A qualified person stands behind each recommendation</t>
  </si>
  <si>
    <t xml:space="preserve">B31</t>
  </si>
  <si>
    <t xml:space="preserve">Schools and families can trust how data is handled</t>
  </si>
  <si>
    <t xml:space="preserve">B32</t>
  </si>
  <si>
    <t xml:space="preserve">People who fled without documents have a path</t>
  </si>
  <si>
    <t xml:space="preserve">B33</t>
  </si>
  <si>
    <t xml:space="preserve">Buyers can budget without a sales call</t>
  </si>
  <si>
    <t xml:space="preserve">B34</t>
  </si>
  <si>
    <t xml:space="preserve">Families never pay to get help</t>
  </si>
  <si>
    <t xml:space="preserve">B35</t>
  </si>
  <si>
    <t xml:space="preserve">Fits how affiliates work and budget</t>
  </si>
  <si>
    <t xml:space="preserve">B36</t>
  </si>
  <si>
    <t xml:space="preserve">Fits school purchasing and Title III funding</t>
  </si>
  <si>
    <t xml:space="preserve">Benefits total (of 36)</t>
  </si>
  <si>
    <t xml:space="preserve">Legend</t>
  </si>
  <si>
    <t xml:space="preserve">x  Offered. Competitors: found on the competitor's own website (see Sources). Paso: planned MVP feature, not a live product.</t>
  </si>
  <si>
    <t xml:space="preserve">Blank  Not offered, or not verified. Unverified items are listed on the Sources sheet.</t>
  </si>
  <si>
    <t xml:space="preserve">Teal shading in a row  Only Paso plans this feature among all seven columns.</t>
  </si>
  <si>
    <t xml:space="preserve">Status quo  Baseline from the team's interview, not one of the five competitors.</t>
  </si>
  <si>
    <t xml:space="preserve">Red corner  Hover for the source ID or a note explaining the mark or the blank.</t>
  </si>
  <si>
    <t xml:space="preserve">Competitor Profiles</t>
  </si>
  <si>
    <t xml:space="preserve">Five competitors plus the manual baseline. Facts come from each competitor's own website (see Sources), accessed 2026-10-05.</t>
  </si>
  <si>
    <t xml:space="preserve">Competitor</t>
  </si>
  <si>
    <t xml:space="preserve">Why it's included</t>
  </si>
  <si>
    <t xml:space="preserve">Description</t>
  </si>
  <si>
    <t xml:space="preserve">Primary customer</t>
  </si>
  <si>
    <t xml:space="preserve">Business model or pricing</t>
  </si>
  <si>
    <t xml:space="preserve">Strength</t>
  </si>
  <si>
    <t xml:space="preserve">Gap versus Paso's customer</t>
  </si>
  <si>
    <t xml:space="preserve">Source URL</t>
  </si>
  <si>
    <t xml:space="preserve">Date accessed</t>
  </si>
  <si>
    <t xml:space="preserve">World Education Services (WES)</t>
  </si>
  <si>
    <t xml:space="preserve">Direct</t>
  </si>
  <si>
    <t xml:space="preserve">Evaluates foreign high-school records course by course and runs a program for refugees without documents: the closest substitute for Paso's record mapping.</t>
  </si>
  <si>
    <t xml:space="preserve">WES evaluates high school and post-secondary credentials from more than 200 countries and issues Document-by-Document or Course-by-Course reports with U.S. or Canadian equivalencies. Its Gateway Program evaluates eligible displaced people who cannot obtain official documents, through referral partner organizations.</t>
  </si>
  <si>
    <t xml:space="preserve">Individuals applying to schools, employers, licensing bodies and immigration authorities</t>
  </si>
  <si>
    <t xml:space="preserve">Fee per report: Course-by-Course from $186; Document-by-Document from $118 (3% increase announced from Jan 1, 2026)</t>
  </si>
  <si>
    <t xml:space="preserve">Widely accepted reports; verifies documents with issuing institutions; dedicated refugee program</t>
  </si>
  <si>
    <t xml:space="preserve">Needs official documents and certified translations outside Gateway; Course-by-Course takes about 2 weeks after verification; gives a U.S. equivalency, not a local grade and course plan; Gateway requires completed high school or college study, so students still in school fall outside it.</t>
  </si>
  <si>
    <t xml:space="preserve">https://www.wes.org/evaluations/</t>
  </si>
  <si>
    <t xml:space="preserve">2026-10-05</t>
  </si>
  <si>
    <t xml:space="preserve">Educational Credential Evaluators (ECE)</t>
  </si>
  <si>
    <t xml:space="preserve">Same evaluation model as WES, plus AI transcript extraction and free reports for refugees through nonprofits (ECE Aid).</t>
  </si>
  <si>
    <t xml:space="preserve">ECE is a nonprofit that evaluates foreign academic credentials, including Course by Course reports covering high school and university study with GPA. It adds AI-extracted transcript summaries (MyDocs Academic Profile) for institutions and free reports for refugees through ECE Aid vouchers.</t>
  </si>
  <si>
    <t xml:space="preserve">Individuals and U.S. and Canadian institutions</t>
  </si>
  <si>
    <t xml:space="preserve">Fee per report: General with GPA $180; Course by Course $199; 5-business-day rush $90; Translation Waiver $85</t>
  </si>
  <si>
    <t xml:space="preserve">Fast (3-5 business days average once documents are complete); AI extraction; nonprofit voucher channel</t>
  </si>
  <si>
    <t xml:space="preserve">Requires official documents and translations (or a waiver fee); produces an equivalency report. We found no skills check, local course match or family-facing plan on its site.</t>
  </si>
  <si>
    <t xml:space="preserve">https://www.ece.org/ECE/Credential-Evaluations/US-Institutions/Services-and-Fees</t>
  </si>
  <si>
    <t xml:space="preserve">i-Ready (Curriculum Associates)</t>
  </si>
  <si>
    <t xml:space="preserve">Indirect</t>
  </si>
  <si>
    <t xml:space="preserve">The diagnostic many schools already use to find a student's level; expands the team's Assignment 2.</t>
  </si>
  <si>
    <t xml:space="preserve">i-Ready Inform (formerly i-Ready Diagnostic) is an adaptive reading and math assessment for grades K-12 that places students relative to grade level and links results to instruction. Spanish versions cover math K-12 and reading K-8; Personalized Instruction adds online lessons for grades K-8.</t>
  </si>
  <si>
    <t xml:space="preserve">Schools and districts</t>
  </si>
  <si>
    <t xml:space="preserve">Not published; through a sales representative; Personalized Instruction needs at least 150 assessment licenses</t>
  </si>
  <si>
    <t xml:space="preserve">Trusted adaptive assessment, educator and family reports, Spanish options</t>
  </si>
  <si>
    <t xml:space="preserve">Measures skills, not prior records or credits; home-language options are Spanish only; sold to schools, not to nonprofits that serve families before enrollment.</t>
  </si>
  <si>
    <t xml:space="preserve">https://www.curriculumassociates.com/programs/i-ready-assessment/diagnostic</t>
  </si>
  <si>
    <t xml:space="preserve">The English-learner platform districts use for identification, placement and family communication; part of Curriculum Associates since 2021.</t>
  </si>
  <si>
    <t xml:space="preserve">Ellevation is a platform for district English-learner programs: student profiles, identification and placement workflows, monitoring forms, compliance reports and dashboards. It adds Benchmark ELD assessments, classroom strategies and family communication in home languages.</t>
  </si>
  <si>
    <t xml:space="preserve">District English-learner programs</t>
  </si>
  <si>
    <t xml:space="preserve">Not published; priced by number of English learners; most districts fund it with Title III</t>
  </si>
  <si>
    <t xml:space="preserve">Owns the district's English-learner workflow, with SIS integration and SOC 2 Type 2 security</t>
  </si>
  <si>
    <t xml:space="preserve">Starts after enrollment, inside the district; we found no evaluation of foreign records or credits; not sold to nonprofits.</t>
  </si>
  <si>
    <t xml:space="preserve">https://ellevationeducation.com/product/ellevation-platform</t>
  </si>
  <si>
    <t xml:space="preserve">The tool schools use to talk with multilingual families; competes for the job of making sure families understand.</t>
  </si>
  <si>
    <t xml:space="preserve">TalkingPoints is a nonprofit family-engagement platform that auto-translates two-way messages between school staff and families in more than 150 languages, using human translators and AI. Families can receive texts with no app on paid plans; schools get analytics, attendance tools and SIS syncing.</t>
  </si>
  <si>
    <t xml:space="preserve">Teachers (free); schools and districts (paid)</t>
  </si>
  <si>
    <t xml:space="preserve">Free for teachers; school and district pricing not published</t>
  </si>
  <si>
    <t xml:space="preserve">Reaches families in their language on any phone, at scale</t>
  </si>
  <si>
    <t xml:space="preserve">Carries messages but does not evaluate records, check skills or recommend a starting point.</t>
  </si>
  <si>
    <t xml:space="preserve">https://talkingpts.org/teachers/</t>
  </si>
  <si>
    <t xml:space="preserve">Status quo (baseline, not a competitor)</t>
  </si>
  <si>
    <t xml:space="preserve">Baseline</t>
  </si>
  <si>
    <t xml:space="preserve">What case managers do today, from the team's interview.</t>
  </si>
  <si>
    <t xml:space="preserve">Case managers piece together records with informal Google searches or unstandardized translation tools and write custom letters from scratch for every case.</t>
  </si>
  <si>
    <t xml:space="preserve">Resettlement affiliate staff</t>
  </si>
  <si>
    <t xml:space="preserve">No fee; paid in staff time</t>
  </si>
  <si>
    <t xml:space="preserve">Free and flexible</t>
  </si>
  <si>
    <t xml:space="preserve">One Arabic transcript took over five hours across three weeks; parents leave placement meetings confused; staff delay recommendations for fear of a wrong placement.</t>
  </si>
  <si>
    <t xml:space="preserve">Team interview (Part 2)</t>
  </si>
  <si>
    <t xml:space="preserve">Sept 2026</t>
  </si>
  <si>
    <t xml:space="preserve">Positioning: strategy canvas</t>
  </si>
  <si>
    <t xml:space="preserve">Scores 0-3 per factor = how many of the factor's three matrix features each product has (formulas link to the matrix).</t>
  </si>
  <si>
    <t xml:space="preserve">Factor</t>
  </si>
  <si>
    <t xml:space="preserve">Scored from these matrix features</t>
  </si>
  <si>
    <t xml:space="preserve">Works from imperfect records</t>
  </si>
  <si>
    <t xml:space="preserve">F1 Receive records digitally; F2 Accept copies when official records are missing; F3 Translate records into English</t>
  </si>
  <si>
    <t xml:space="preserve">Course and credit evidence</t>
  </si>
  <si>
    <t xml:space="preserve">F7 Evaluate course by course; F8 Convert grades and credits to U.S. terms; F9 Match to local grade level and courses</t>
  </si>
  <si>
    <t xml:space="preserve">Skills check</t>
  </si>
  <si>
    <t xml:space="preserve">F10 Assess reading and math; F12 Test in the student's home language; F13 Measure English proficiency</t>
  </si>
  <si>
    <t xml:space="preserve">Placement recommendation</t>
  </si>
  <si>
    <t xml:space="preserve">F14 Recommend a starting point; F15 Combine records and skills results in one recommendation; F16 Suggest next instructional steps</t>
  </si>
  <si>
    <t xml:space="preserve">Family understanding</t>
  </si>
  <si>
    <t xml:space="preserve">F18 Give families a plain-language report; F19 Communicate in the family's language; F21 Reach families without a new app</t>
  </si>
  <si>
    <t xml:space="preserve">Speed and standard output</t>
  </si>
  <si>
    <t xml:space="preserve">F24 Use a standard report or letter; F25 Track each case online; F29 Return results within one week</t>
  </si>
  <si>
    <t xml:space="preserve">Trust and safeguards</t>
  </si>
  <si>
    <t xml:space="preserve">F5 Verify authenticity with the issuing school; F30 Have a trained person review every result; F31 Publish student-data privacy commitments</t>
  </si>
  <si>
    <t xml:space="preserve">Fit for nonprofit buyers</t>
  </si>
  <si>
    <t xml:space="preserve">F32 Serve refugees and displaced people; F34 Free for families; F35 Sold to resettlement nonprofits</t>
  </si>
  <si>
    <t xml:space="preserve">Rubric: 0 = none of the three features; 3 = all three. Competitor marks are verified on their own websites; Paso's are planned.</t>
  </si>
  <si>
    <t xml:space="preserve">Sources</t>
  </si>
  <si>
    <t xml:space="preserve">Every competitor mark traces to a source ID here. Pages were found by searches limited to each competitor's own domain; this environment could not open them directly, so click to confirm before submitting.</t>
  </si>
  <si>
    <t xml:space="preserve">ID</t>
  </si>
  <si>
    <t xml:space="preserve">Claim used</t>
  </si>
  <si>
    <t xml:space="preserve">Matrix features</t>
  </si>
  <si>
    <t xml:space="preserve">URL</t>
  </si>
  <si>
    <t xml:space="preserve">Status</t>
  </si>
  <si>
    <t xml:space="preserve">S1</t>
  </si>
  <si>
    <t xml:space="preserve">Course-by-Course report: equivalency for each credential, each course analyzed, credits and grades converted, GPA calculated</t>
  </si>
  <si>
    <t xml:space="preserve">F7, F8, F9</t>
  </si>
  <si>
    <t xml:space="preserve">https://www.wes.org/resource-library/blog/credential-advice/why-upgrade-to-cxc-report/</t>
  </si>
  <si>
    <t xml:space="preserve">Verified: competitor's own website (found by a search limited to its domain; open the link to confirm)</t>
  </si>
  <si>
    <t xml:space="preserve">S2</t>
  </si>
  <si>
    <t xml:space="preserve">Evaluates high school and post-secondary credentials from more than 200 countries</t>
  </si>
  <si>
    <t xml:space="preserve">https://www.wes.org/credential-evaluation-for-employment/</t>
  </si>
  <si>
    <t xml:space="preserve">S3</t>
  </si>
  <si>
    <t xml:space="preserve">Fees: Course-by-Course from $186 USD; Document-by-Document from $118 USD; 3% increase announced from Jan 1, 2026</t>
  </si>
  <si>
    <t xml:space="preserve">S4</t>
  </si>
  <si>
    <t xml:space="preserve">Processing: 2-3 business days to process documents; Document-by-Document about 1 week (up to 2), Course-by-Course about 2 weeks (up to 4) after documents are verified</t>
  </si>
  <si>
    <t xml:space="preserve">https://www.wes.org/current-processing/</t>
  </si>
  <si>
    <t xml:space="preserve">S5</t>
  </si>
  <si>
    <t xml:space="preserve">Official documents come from the issuing institution; WES verifies documents with issuing institutions</t>
  </si>
  <si>
    <t xml:space="preserve">https://www.wes.org/resource-library/blog/credential-advice/verification-status/</t>
  </si>
  <si>
    <t xml:space="preserve">S6</t>
  </si>
  <si>
    <t xml:space="preserve">Requires official word-for-word English translations; does not offer translation; WES evaluators verify translations during evaluation</t>
  </si>
  <si>
    <t xml:space="preserve">F3, F30</t>
  </si>
  <si>
    <t xml:space="preserve">https://www.wes.org/resource-library/blog/credential-advice/understanding-required-documents-for-credential-evaluation/</t>
  </si>
  <si>
    <t xml:space="preserve">S7</t>
  </si>
  <si>
    <t xml:space="preserve">Accepts electronic academic records through approved means</t>
  </si>
  <si>
    <t xml:space="preserve">https://www.wes.org/send-electronic-academic-records/</t>
  </si>
  <si>
    <t xml:space="preserve">S8</t>
  </si>
  <si>
    <t xml:space="preserve">Gateway Program: evaluates refugees and displaced people who cannot obtain official documents (listed countries; completed high school or college study; copies required); referral partner organizations submit cases</t>
  </si>
  <si>
    <t xml:space="preserve">F2, F32, F35</t>
  </si>
  <si>
    <t xml:space="preserve">https://www.wes.org/social-impact/programming/wes-gateway-program/</t>
  </si>
  <si>
    <t xml:space="preserve">S10</t>
  </si>
  <si>
    <t xml:space="preserve">Two standard report types: Document-by-Document and Course-by-Course</t>
  </si>
  <si>
    <t xml:space="preserve">https://www.wes.org/resource-library/blog/credential-advice/the-difference-between-document-by-document-and-course-by-course-credential-evaluation-reports/</t>
  </si>
  <si>
    <t xml:space="preserve">S11</t>
  </si>
  <si>
    <t xml:space="preserve">Report types and fees: Course by Course (high school and university courses, credits, grades, GPA), General, General with Grade Average; General with GPA $180, Course by Course $199, 5-business-day rush $90</t>
  </si>
  <si>
    <t xml:space="preserve">F6, F7, F8, F9, F24, F33</t>
  </si>
  <si>
    <t xml:space="preserve">S12</t>
  </si>
  <si>
    <t xml:space="preserve">Processing averages 3-5 business days after all required information is received</t>
  </si>
  <si>
    <t xml:space="preserve">https://www.ece.org/ECE/Credential-Evaluations/Individual-FAQs</t>
  </si>
  <si>
    <t xml:space="preserve">S13</t>
  </si>
  <si>
    <t xml:space="preserve">Official documents sent by the institution or an approved electronic service; English translation required unless the $85 ECE Translation Waiver is purchased</t>
  </si>
  <si>
    <t xml:space="preserve">F1, F2, F3</t>
  </si>
  <si>
    <t xml:space="preserve">https://www.ece.org/ECE/Credential-Evaluations/Documentation-Requirements</t>
  </si>
  <si>
    <t xml:space="preserve">S14</t>
  </si>
  <si>
    <t xml:space="preserve">ECE Aid: free evaluation reports for refugees and displaced people through fee-waiver vouchers distributed by selected institutions and nonprofits</t>
  </si>
  <si>
    <t xml:space="preserve">F32, F34, F35</t>
  </si>
  <si>
    <t xml:space="preserve">https://www.ece.org/ECE/ECE-Aid</t>
  </si>
  <si>
    <t xml:space="preserve">S15</t>
  </si>
  <si>
    <t xml:space="preserve">MyDocs Academic Profile (MAP): AI extracts transcript data regardless of format, language or layout; delivered with Course by Course reports via ECE Dispatch</t>
  </si>
  <si>
    <t xml:space="preserve">https://www.ece.org/ECE/Institutions-and-Agencies/MAPs</t>
  </si>
  <si>
    <t xml:space="preserve">S16</t>
  </si>
  <si>
    <t xml:space="preserve">ECE Dispatch: free web-based tracking, delivery and storage of evaluations for institutions</t>
  </si>
  <si>
    <t xml:space="preserve">https://www.ece.org/ECE/Institutions-and-Agencies/ECE-Dispatch-Login</t>
  </si>
  <si>
    <t xml:space="preserve">S17</t>
  </si>
  <si>
    <t xml:space="preserve">Process: document specialist, then a country specialist evaluator reviews each file; documents checked for authenticity</t>
  </si>
  <si>
    <t xml:space="preserve">F5, F30</t>
  </si>
  <si>
    <t xml:space="preserve">https://www.ece.org/Blogs/The-ECE-Foreign-Transcript-Evaluation-Process.htm</t>
  </si>
  <si>
    <t xml:space="preserve">S18</t>
  </si>
  <si>
    <t xml:space="preserve">Academic Document Authentication Report</t>
  </si>
  <si>
    <t xml:space="preserve">https://www.ece.org/ECE/Institutions-and-Agencies/Institution-Reports/Doc-Authentication-Reports</t>
  </si>
  <si>
    <t xml:space="preserve">S19</t>
  </si>
  <si>
    <t xml:space="preserve">ECE is a nonprofit organization</t>
  </si>
  <si>
    <t xml:space="preserve">Profiles</t>
  </si>
  <si>
    <t xml:space="preserve">https://www.ece.org/Blogs/ECE-is-a-nonprofit-organization.htm</t>
  </si>
  <si>
    <t xml:space="preserve">S20</t>
  </si>
  <si>
    <t xml:space="preserve">i-Ready Inform (formerly Diagnostic): adaptive reading and math, grades K-12, English and Spanish; placement relative to grade level; links results to instructional next steps</t>
  </si>
  <si>
    <t xml:space="preserve">F10, F11, F14, F16</t>
  </si>
  <si>
    <t xml:space="preserve">S21</t>
  </si>
  <si>
    <t xml:space="preserve">Spanish mathematics assessment, grades K-12</t>
  </si>
  <si>
    <t xml:space="preserve">https://www.curriculumassociates.com/programs/i-ready-assessment/admin-resources/spanish-assessment</t>
  </si>
  <si>
    <t xml:space="preserve">S22</t>
  </si>
  <si>
    <t xml:space="preserve">Adaptive Spanish reading, grades K-6; fixed-form Spanish reading, grades 7-8</t>
  </si>
  <si>
    <t xml:space="preserve">https://www.curriculumassociates.com/programs/i-ready-assessment/adaptive-spanish-reading</t>
  </si>
  <si>
    <t xml:space="preserve">S23</t>
  </si>
  <si>
    <t xml:space="preserve">Family Center: resources in up to 18 languages; plain-language family reports; family reports in English and Spanish; support for learning at home</t>
  </si>
  <si>
    <t xml:space="preserve">F18, F19, F22</t>
  </si>
  <si>
    <t xml:space="preserve">https://www.curriculumassociates.com/family</t>
  </si>
  <si>
    <t xml:space="preserve">S24</t>
  </si>
  <si>
    <t xml:space="preserve">Personalized Instruction: online lessons for grades K-8 driven by assessment results; reports at student, class, school and district levels</t>
  </si>
  <si>
    <t xml:space="preserve">F17, F26</t>
  </si>
  <si>
    <t xml:space="preserve">https://www.curriculumassociates.com/programs/i-ready-learning/personalized-instruction</t>
  </si>
  <si>
    <t xml:space="preserve">S25</t>
  </si>
  <si>
    <t xml:space="preserve">Pricing through a Curriculum Associates sales representative; minimum 150 assessment licenses for Personalized Instruction</t>
  </si>
  <si>
    <t xml:space="preserve">F33, F36</t>
  </si>
  <si>
    <t xml:space="preserve">https://www.curriculumassociates.com/programs/i-ready-learning/personalized-instruction/purchasing</t>
  </si>
  <si>
    <t xml:space="preserve">S26</t>
  </si>
  <si>
    <t xml:space="preserve">Student data privacy: FERPA 'school official'; no sale of student data; annual third-party security audits</t>
  </si>
  <si>
    <t xml:space="preserve">https://www.curriculumassociates.com/privacy/i-ready</t>
  </si>
  <si>
    <t xml:space="preserve">S27</t>
  </si>
  <si>
    <t xml:space="preserve">Curriculum Associates purchased Ellevation (July 2021); Ellevation runs as an independent brand</t>
  </si>
  <si>
    <t xml:space="preserve">https://www.curriculumassociates.com/about/press-releases/2021/07/ellevation-press-release</t>
  </si>
  <si>
    <t xml:space="preserve">S28</t>
  </si>
  <si>
    <t xml:space="preserve">Identification, placement and planning; unified view of proficiency, services, accommodations and program history</t>
  </si>
  <si>
    <t xml:space="preserve">F14, F25</t>
  </si>
  <si>
    <t xml:space="preserve">S29</t>
  </si>
  <si>
    <t xml:space="preserve">Compliance reports in a few clicks; live dashboards; digital forms; integrations with SIS and assessments</t>
  </si>
  <si>
    <t xml:space="preserve">F26, F27</t>
  </si>
  <si>
    <t xml:space="preserve">https://ellevationeducation.com/product/ellevation-platform/default</t>
  </si>
  <si>
    <t xml:space="preserve">S30</t>
  </si>
  <si>
    <t xml:space="preserve">Family Communication: share information with families in their language; unified outreach history</t>
  </si>
  <si>
    <t xml:space="preserve">https://ellevationeducation.com/family-communication</t>
  </si>
  <si>
    <t xml:space="preserve">S31</t>
  </si>
  <si>
    <t xml:space="preserve">Instructional Strategies: 70+ classroom activities with per-student guidance by proficiency</t>
  </si>
  <si>
    <t xml:space="preserve">F16, F17</t>
  </si>
  <si>
    <t xml:space="preserve">https://ellevationeducation.com/product/ellevation-strategies</t>
  </si>
  <si>
    <t xml:space="preserve">S32</t>
  </si>
  <si>
    <t xml:space="preserve">Ellevation Benchmark ELD assessment; results flow into each learner's profile</t>
  </si>
  <si>
    <t xml:space="preserve">https://ellevationeducation.com/blog/ellevation-benchmark-unified-eld-solution</t>
  </si>
  <si>
    <t xml:space="preserve">S33</t>
  </si>
  <si>
    <t xml:space="preserve">Security and privacy: SOC 2 Type 2; aligned with FERPA and COPPA; does not sell student data; SSO and role-based permissions</t>
  </si>
  <si>
    <t xml:space="preserve">https://ellevationeducation.com/security-and-privacy</t>
  </si>
  <si>
    <t xml:space="preserve">S34</t>
  </si>
  <si>
    <t xml:space="preserve">Imports student data from every leading U.S. SIS</t>
  </si>
  <si>
    <t xml:space="preserve">https://ellevationeducation.com/faqs</t>
  </si>
  <si>
    <t xml:space="preserve">S35</t>
  </si>
  <si>
    <t xml:space="preserve">Priced by number of English learners; quote required; most districts fund it with Title III</t>
  </si>
  <si>
    <t xml:space="preserve">https://ellevationeducation.com/buy-ellevation-funding</t>
  </si>
  <si>
    <t xml:space="preserve">S37</t>
  </si>
  <si>
    <t xml:space="preserve">Two-way messages auto-translated into 150+ languages; always free for teachers</t>
  </si>
  <si>
    <t xml:space="preserve">F19, F20, F33</t>
  </si>
  <si>
    <t xml:space="preserve">S38</t>
  </si>
  <si>
    <t xml:space="preserve">Families receive texts in their home language with no app on paid plans; families can also use the free app or website</t>
  </si>
  <si>
    <t xml:space="preserve">F21, F34</t>
  </si>
  <si>
    <t xml:space="preserve">https://talkingpts.org/blog/here-are-the-questions-everyone-always-asks-us-about-talkingpoints/11303/</t>
  </si>
  <si>
    <t xml:space="preserve">S39</t>
  </si>
  <si>
    <t xml:space="preserve">Translation by human translators plus a proprietary AI model</t>
  </si>
  <si>
    <t xml:space="preserve">https://talkingpts.org/blog/using-ai-and-technology-to-support-multilingual-students/13470/</t>
  </si>
  <si>
    <t xml:space="preserve">S40</t>
  </si>
  <si>
    <t xml:space="preserve">TalkingPoints is a 501(c)(3) nonprofit</t>
  </si>
  <si>
    <t xml:space="preserve">https://talkingpts.org/about-us/</t>
  </si>
  <si>
    <t xml:space="preserve">S41</t>
  </si>
  <si>
    <t xml:space="preserve">School and district plans: school-wide communication, SIS syncing, analytics dashboard, Partner Success Manager</t>
  </si>
  <si>
    <t xml:space="preserve">F28, F33, F36</t>
  </si>
  <si>
    <t xml:space="preserve">https://talkingpts.org/pdf/TalkingPoints-for-Schools-and-Districts.pdf</t>
  </si>
  <si>
    <t xml:space="preserve">S42</t>
  </si>
  <si>
    <t xml:space="preserve">Admin Analytics dashboards; Engagement Insights find families who are not being engaged</t>
  </si>
  <si>
    <t xml:space="preserve">F23, F26</t>
  </si>
  <si>
    <t xml:space="preserve">https://talkingpts.org/data-informed-guidance/</t>
  </si>
  <si>
    <t xml:space="preserve">S43</t>
  </si>
  <si>
    <t xml:space="preserve">2025-26 updates: Academic Improvement Plus helps families support learning at home; attendance dashboard</t>
  </si>
  <si>
    <t xml:space="preserve">https://talkingpts.org/bts-25/</t>
  </si>
  <si>
    <t xml:space="preserve">S44</t>
  </si>
  <si>
    <t xml:space="preserve">Privacy: FERPA compliant; student data used only to provide the service</t>
  </si>
  <si>
    <t xml:space="preserve">https://talkingpts.org/privacy-and-security/</t>
  </si>
  <si>
    <t xml:space="preserve">S45</t>
  </si>
  <si>
    <t xml:space="preserve">Status quo</t>
  </si>
  <si>
    <t xml:space="preserve">Team interview with a youth education specialist (Part 2): over five hours across three weeks on one Arabic transcript; informal Google searches or unstandardized translation tools; custom letters from scratch for every case; fear of wrong placement delays recommendations</t>
  </si>
  <si>
    <t xml:space="preserve">F3, F19, F24, F29</t>
  </si>
  <si>
    <t xml:space="preserve">The Jackson Krewe Assignments (team document)</t>
  </si>
  <si>
    <t xml:space="preserve">Team interview (quoted from the team document)</t>
  </si>
  <si>
    <t xml:space="preserve">S46</t>
  </si>
  <si>
    <t xml:space="preserve">Paso</t>
  </si>
  <si>
    <t xml:space="preserve">Team document (Parts 1-3): Paso design, customers and targets (~4 to 2 staff hours; ~2 weeks to 3 business days; $30 per student, hypothesis H3)</t>
  </si>
  <si>
    <t xml:space="preserve">Team document: design and targets (hypotheses, not results)</t>
  </si>
  <si>
    <t xml:space="preserve">Unverified or not found (left blank in the matrix)</t>
  </si>
  <si>
    <t xml:space="preserve">U1</t>
  </si>
  <si>
    <t xml:space="preserve">Integration with student information systems: not found on the pages searched.</t>
  </si>
  <si>
    <t xml:space="preserve">U2</t>
  </si>
  <si>
    <t xml:space="preserve">Two-way translated messaging with families: not stated on the Family Communication page found.</t>
  </si>
  <si>
    <t xml:space="preserve">U3</t>
  </si>
  <si>
    <t xml:space="preserve">Gateway Program fees and whether it accepts students still in secondary school beyond the stated eligibility: not found.</t>
  </si>
  <si>
    <t xml:space="preserve">U4</t>
  </si>
  <si>
    <t xml:space="preserve">School and district prices: not published.</t>
  </si>
  <si>
    <t xml:space="preserve">U5</t>
  </si>
  <si>
    <t xml:space="preserve">All competitors</t>
  </si>
  <si>
    <t xml:space="preserve">Whether they ask about immigration status: not checked; Paso's 'never ask' commitment is compared only as a Paso design choice.</t>
  </si>
  <si>
    <t xml:space="preserve">U6</t>
  </si>
  <si>
    <t xml:space="preserve">Team statistic</t>
  </si>
  <si>
    <t xml:space="preserve">Boston 16% vs Springfield 64% (Mantil et al., 2026): not independently verified; the 38-point adjusted gap matches Brown University and Education Week coverage. Not used in this workbook.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</si>
</sst>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3"/>
      <name val="Calibri"/>
      <family val="0"/>
      <charset val="1"/>
    </font>
    <font>
      <sz val="10"/>
      <color rgb="FF6B7280"/>
      <name val="Calibri"/>
      <family val="0"/>
      <charset val="1"/>
    </font>
    <font>
      <b val="true"/>
      <sz val="11"/>
      <color rgb="FF1F2933"/>
      <name val="Calibri"/>
      <family val="0"/>
      <charset val="1"/>
    </font>
    <font>
      <b val="true"/>
      <sz val="11"/>
      <color rgb="FF0F766E"/>
      <name val="Calibri"/>
      <family val="0"/>
      <charset val="1"/>
    </font>
    <font>
      <sz val="11"/>
      <color rgb="FF1F2933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3"/>
      <color rgb="FF0F766E"/>
      <name val="Calibri"/>
      <family val="0"/>
      <charset val="1"/>
    </font>
    <font>
      <b val="true"/>
      <sz val="12"/>
      <color rgb="FF0F766E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Arial"/>
      <family val="2"/>
    </font>
    <font>
      <b val="true"/>
      <u val="single"/>
      <sz val="11"/>
      <color rgb="FF0F766E"/>
      <name val="Calibri"/>
      <family val="0"/>
      <charset val="1"/>
    </font>
    <font>
      <u val="single"/>
      <sz val="10"/>
      <color rgb="FF0F766E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1F2933"/>
      <name val="Calibri"/>
      <family val="0"/>
      <charset val="1"/>
    </font>
    <font>
      <u val="single"/>
      <sz val="9"/>
      <color rgb="FF0F766E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1F3"/>
        <bgColor rgb="FFE6F2F0"/>
      </patternFill>
    </fill>
    <fill>
      <patternFill patternType="solid">
        <fgColor rgb="FFE6F2F0"/>
        <bgColor rgb="FFEEF1F3"/>
      </patternFill>
    </fill>
    <fill>
      <patternFill patternType="solid">
        <fgColor rgb="FF0F766E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3"/>
      </bottom>
      <diagonal/>
    </border>
    <border diagonalUp="false" diagonalDown="false">
      <left/>
      <right/>
      <top style="thin">
        <color rgb="FF1F29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6F2F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78787"/>
      <rgbColor rgb="FF9999FF"/>
      <rgbColor rgb="FF993366"/>
      <rgbColor rgb="FFEEF1F3"/>
      <rgbColor rgb="FFE6F2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E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993300"/>
      <rgbColor rgb="FF993366"/>
      <rgbColor rgb="FF4B5563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Strategy canvas (score 0-3 per factor)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Positioning!C4</c:f>
              <c:strCache>
                <c:ptCount val="1"/>
                <c:pt idx="0">
                  <c:v>Paso (planned MVP)</c:v>
                </c:pt>
              </c:strCache>
            </c:strRef>
          </c:tx>
          <c:spPr>
            <a:solidFill>
              <a:srgbClr val="0f766e"/>
            </a:solidFill>
            <a:ln w="44280">
              <a:solidFill>
                <a:srgbClr val="0f766e"/>
              </a:solidFill>
              <a:round/>
            </a:ln>
          </c:spPr>
          <c:marker>
            <c:symbol val="circle"/>
            <c:size val="7"/>
            <c:spPr>
              <a:solidFill>
                <a:srgbClr val="0f766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Positioning!$A$5:$A$12</c:f>
              <c:strCache>
                <c:ptCount val="8"/>
                <c:pt idx="0">
                  <c:v>Works from imperfect records</c:v>
                </c:pt>
                <c:pt idx="1">
                  <c:v>Course and credit evidence</c:v>
                </c:pt>
                <c:pt idx="2">
                  <c:v>Skills check</c:v>
                </c:pt>
                <c:pt idx="3">
                  <c:v>Placement recommendation</c:v>
                </c:pt>
                <c:pt idx="4">
                  <c:v>Family understanding</c:v>
                </c:pt>
                <c:pt idx="5">
                  <c:v>Speed and standard output</c:v>
                </c:pt>
                <c:pt idx="6">
                  <c:v>Trust and safeguards</c:v>
                </c:pt>
                <c:pt idx="7">
                  <c:v>Fit for nonprofit buyers</c:v>
                </c:pt>
              </c:strCache>
            </c:strRef>
          </c:cat>
          <c:val>
            <c:numRef>
              <c:f>Positioning!$C$5:$C$12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Positioning!D4</c:f>
              <c:strCache>
                <c:ptCount val="1"/>
                <c:pt idx="0">
                  <c:v>WES</c:v>
                </c:pt>
              </c:strCache>
            </c:strRef>
          </c:tx>
          <c:spPr>
            <a:solidFill>
              <a:srgbClr val="4b5563"/>
            </a:solidFill>
            <a:ln w="19080">
              <a:solidFill>
                <a:srgbClr val="4b5563"/>
              </a:solidFill>
              <a:round/>
            </a:ln>
          </c:spPr>
          <c:marker>
            <c:symbol val="square"/>
            <c:size val="7"/>
            <c:spPr>
              <a:solidFill>
                <a:srgbClr val="4b556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Positioning!$A$5:$A$12</c:f>
              <c:strCache>
                <c:ptCount val="8"/>
                <c:pt idx="0">
                  <c:v>Works from imperfect records</c:v>
                </c:pt>
                <c:pt idx="1">
                  <c:v>Course and credit evidence</c:v>
                </c:pt>
                <c:pt idx="2">
                  <c:v>Skills check</c:v>
                </c:pt>
                <c:pt idx="3">
                  <c:v>Placement recommendation</c:v>
                </c:pt>
                <c:pt idx="4">
                  <c:v>Family understanding</c:v>
                </c:pt>
                <c:pt idx="5">
                  <c:v>Speed and standard output</c:v>
                </c:pt>
                <c:pt idx="6">
                  <c:v>Trust and safeguards</c:v>
                </c:pt>
                <c:pt idx="7">
                  <c:v>Fit for nonprofit buyers</c:v>
                </c:pt>
              </c:strCache>
            </c:strRef>
          </c:cat>
          <c:val>
            <c:numRef>
              <c:f>Positioning!$D$5:$D$12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Positioning!E4</c:f>
              <c:strCache>
                <c:ptCount val="1"/>
                <c:pt idx="0">
                  <c:v>ECE</c:v>
                </c:pt>
              </c:strCache>
            </c:strRef>
          </c:tx>
          <c:spPr>
            <a:solidFill>
              <a:srgbClr val="6b7280"/>
            </a:solidFill>
            <a:ln w="19080">
              <a:solidFill>
                <a:srgbClr val="6b7280"/>
              </a:solidFill>
              <a:prstDash val="dash"/>
              <a:round/>
            </a:ln>
          </c:spPr>
          <c:marker>
            <c:symbol val="triangle"/>
            <c:size val="7"/>
            <c:spPr>
              <a:solidFill>
                <a:srgbClr val="6b728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Positioning!$A$5:$A$12</c:f>
              <c:strCache>
                <c:ptCount val="8"/>
                <c:pt idx="0">
                  <c:v>Works from imperfect records</c:v>
                </c:pt>
                <c:pt idx="1">
                  <c:v>Course and credit evidence</c:v>
                </c:pt>
                <c:pt idx="2">
                  <c:v>Skills check</c:v>
                </c:pt>
                <c:pt idx="3">
                  <c:v>Placement recommendation</c:v>
                </c:pt>
                <c:pt idx="4">
                  <c:v>Family understanding</c:v>
                </c:pt>
                <c:pt idx="5">
                  <c:v>Speed and standard output</c:v>
                </c:pt>
                <c:pt idx="6">
                  <c:v>Trust and safeguards</c:v>
                </c:pt>
                <c:pt idx="7">
                  <c:v>Fit for nonprofit buyers</c:v>
                </c:pt>
              </c:strCache>
            </c:strRef>
          </c:cat>
          <c:val>
            <c:numRef>
              <c:f>Positioning!$E$5:$E$12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Positioning!F4</c:f>
              <c:strCache>
                <c:ptCount val="1"/>
                <c:pt idx="0">
                  <c:v>i-Ready</c:v>
                </c:pt>
              </c:strCache>
            </c:strRef>
          </c:tx>
          <c:spPr>
            <a:solidFill>
              <a:srgbClr val="9ca3af"/>
            </a:solidFill>
            <a:ln w="19080">
              <a:solidFill>
                <a:srgbClr val="9ca3af"/>
              </a:solidFill>
              <a:round/>
            </a:ln>
          </c:spPr>
          <c:marker>
            <c:symbol val="diamond"/>
            <c:size val="7"/>
            <c:spPr>
              <a:solidFill>
                <a:srgbClr val="9ca3a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Positioning!$A$5:$A$12</c:f>
              <c:strCache>
                <c:ptCount val="8"/>
                <c:pt idx="0">
                  <c:v>Works from imperfect records</c:v>
                </c:pt>
                <c:pt idx="1">
                  <c:v>Course and credit evidence</c:v>
                </c:pt>
                <c:pt idx="2">
                  <c:v>Skills check</c:v>
                </c:pt>
                <c:pt idx="3">
                  <c:v>Placement recommendation</c:v>
                </c:pt>
                <c:pt idx="4">
                  <c:v>Family understanding</c:v>
                </c:pt>
                <c:pt idx="5">
                  <c:v>Speed and standard output</c:v>
                </c:pt>
                <c:pt idx="6">
                  <c:v>Trust and safeguards</c:v>
                </c:pt>
                <c:pt idx="7">
                  <c:v>Fit for nonprofit buyers</c:v>
                </c:pt>
              </c:strCache>
            </c:strRef>
          </c:cat>
          <c:val>
            <c:numRef>
              <c:f>Positioning!$F$5:$F$12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Positioning!G4</c:f>
              <c:strCache>
                <c:ptCount val="1"/>
                <c:pt idx="0">
                  <c:v>Ellevation</c:v>
                </c:pt>
              </c:strCache>
            </c:strRef>
          </c:tx>
          <c:spPr>
            <a:solidFill>
              <a:srgbClr val="9ca3af"/>
            </a:solidFill>
            <a:ln w="19080">
              <a:solidFill>
                <a:srgbClr val="9ca3af"/>
              </a:solidFill>
              <a:prstDash val="dash"/>
              <a:round/>
            </a:ln>
          </c:spPr>
          <c:marker>
            <c:symbol val="x"/>
            <c:size val="7"/>
            <c:spPr>
              <a:solidFill>
                <a:srgbClr val="9ca3a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Positioning!$A$5:$A$12</c:f>
              <c:strCache>
                <c:ptCount val="8"/>
                <c:pt idx="0">
                  <c:v>Works from imperfect records</c:v>
                </c:pt>
                <c:pt idx="1">
                  <c:v>Course and credit evidence</c:v>
                </c:pt>
                <c:pt idx="2">
                  <c:v>Skills check</c:v>
                </c:pt>
                <c:pt idx="3">
                  <c:v>Placement recommendation</c:v>
                </c:pt>
                <c:pt idx="4">
                  <c:v>Family understanding</c:v>
                </c:pt>
                <c:pt idx="5">
                  <c:v>Speed and standard output</c:v>
                </c:pt>
                <c:pt idx="6">
                  <c:v>Trust and safeguards</c:v>
                </c:pt>
                <c:pt idx="7">
                  <c:v>Fit for nonprofit buyers</c:v>
                </c:pt>
              </c:strCache>
            </c:strRef>
          </c:cat>
          <c:val>
            <c:numRef>
              <c:f>Positioning!$G$5:$G$12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Positioning!H4</c:f>
              <c:strCache>
                <c:ptCount val="1"/>
                <c:pt idx="0">
                  <c:v>TalkingPoints</c:v>
                </c:pt>
              </c:strCache>
            </c:strRef>
          </c:tx>
          <c:spPr>
            <a:solidFill>
              <a:srgbClr val="6b7280"/>
            </a:solidFill>
            <a:ln w="19080">
              <a:solidFill>
                <a:srgbClr val="6b7280"/>
              </a:solidFill>
              <a:prstDash val="sysDot"/>
              <a:round/>
            </a:ln>
          </c:spPr>
          <c:marker>
            <c:symbol val="square"/>
            <c:size val="7"/>
            <c:spPr>
              <a:solidFill>
                <a:srgbClr val="6b728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Positioning!$A$5:$A$12</c:f>
              <c:strCache>
                <c:ptCount val="8"/>
                <c:pt idx="0">
                  <c:v>Works from imperfect records</c:v>
                </c:pt>
                <c:pt idx="1">
                  <c:v>Course and credit evidence</c:v>
                </c:pt>
                <c:pt idx="2">
                  <c:v>Skills check</c:v>
                </c:pt>
                <c:pt idx="3">
                  <c:v>Placement recommendation</c:v>
                </c:pt>
                <c:pt idx="4">
                  <c:v>Family understanding</c:v>
                </c:pt>
                <c:pt idx="5">
                  <c:v>Speed and standard output</c:v>
                </c:pt>
                <c:pt idx="6">
                  <c:v>Trust and safeguards</c:v>
                </c:pt>
                <c:pt idx="7">
                  <c:v>Fit for nonprofit buyers</c:v>
                </c:pt>
              </c:strCache>
            </c:strRef>
          </c:cat>
          <c:val>
            <c:numRef>
              <c:f>Positioning!$H$5:$H$12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Positioning!I4</c:f>
              <c:strCache>
                <c:ptCount val="1"/>
                <c:pt idx="0">
                  <c:v>Status quo (baseline)</c:v>
                </c:pt>
              </c:strCache>
            </c:strRef>
          </c:tx>
          <c:spPr>
            <a:solidFill>
              <a:srgbClr val="1f2933"/>
            </a:solidFill>
            <a:ln w="19080">
              <a:solidFill>
                <a:srgbClr val="1f2933"/>
              </a:solidFill>
              <a:prstDash val="lg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Positioning!$A$5:$A$12</c:f>
              <c:strCache>
                <c:ptCount val="8"/>
                <c:pt idx="0">
                  <c:v>Works from imperfect records</c:v>
                </c:pt>
                <c:pt idx="1">
                  <c:v>Course and credit evidence</c:v>
                </c:pt>
                <c:pt idx="2">
                  <c:v>Skills check</c:v>
                </c:pt>
                <c:pt idx="3">
                  <c:v>Placement recommendation</c:v>
                </c:pt>
                <c:pt idx="4">
                  <c:v>Family understanding</c:v>
                </c:pt>
                <c:pt idx="5">
                  <c:v>Speed and standard output</c:v>
                </c:pt>
                <c:pt idx="6">
                  <c:v>Trust and safeguards</c:v>
                </c:pt>
                <c:pt idx="7">
                  <c:v>Fit for nonprofit buyers</c:v>
                </c:pt>
              </c:strCache>
            </c:strRef>
          </c:cat>
          <c:val>
            <c:numRef>
              <c:f>Positioning!$I$5:$I$12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6623814"/>
        <c:axId val="47941188"/>
      </c:lineChart>
      <c:catAx>
        <c:axId val="466238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41188"/>
        <c:crosses val="autoZero"/>
        <c:auto val="1"/>
        <c:lblAlgn val="ctr"/>
        <c:lblOffset val="100"/>
        <c:noMultiLvlLbl val="0"/>
      </c:catAx>
      <c:valAx>
        <c:axId val="47941188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23814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6</xdr:col>
      <xdr:colOff>131760</xdr:colOff>
      <xdr:row>39</xdr:row>
      <xdr:rowOff>107640</xdr:rowOff>
    </xdr:to>
    <xdr:graphicFrame>
      <xdr:nvGraphicFramePr>
        <xdr:cNvPr id="0" name="Chart 1"/>
        <xdr:cNvGraphicFramePr/>
      </xdr:nvGraphicFramePr>
      <xdr:xfrm>
        <a:off x="0" y="5429160"/>
        <a:ext cx="107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wes.org/" TargetMode="External"/><Relationship Id="rId2" Type="http://schemas.openxmlformats.org/officeDocument/2006/relationships/hyperlink" Target="https://www.wes.org/evaluations/" TargetMode="External"/><Relationship Id="rId3" Type="http://schemas.openxmlformats.org/officeDocument/2006/relationships/hyperlink" Target="https://www.ece.org/" TargetMode="External"/><Relationship Id="rId4" Type="http://schemas.openxmlformats.org/officeDocument/2006/relationships/hyperlink" Target="https://www.ece.org/ECE/Credential-Evaluations/US-Institutions/Services-and-Fees" TargetMode="External"/><Relationship Id="rId5" Type="http://schemas.openxmlformats.org/officeDocument/2006/relationships/hyperlink" Target="https://www.curriculumassociates.com/programs/i-ready-assessment" TargetMode="External"/><Relationship Id="rId6" Type="http://schemas.openxmlformats.org/officeDocument/2006/relationships/hyperlink" Target="https://www.curriculumassociates.com/programs/i-ready-assessment/diagnostic" TargetMode="External"/><Relationship Id="rId7" Type="http://schemas.openxmlformats.org/officeDocument/2006/relationships/hyperlink" Target="https://ellevationeducation.com/" TargetMode="External"/><Relationship Id="rId8" Type="http://schemas.openxmlformats.org/officeDocument/2006/relationships/hyperlink" Target="https://ellevationeducation.com/product/ellevation-platform" TargetMode="External"/><Relationship Id="rId9" Type="http://schemas.openxmlformats.org/officeDocument/2006/relationships/hyperlink" Target="https://talkingpts.org/" TargetMode="External"/><Relationship Id="rId10" Type="http://schemas.openxmlformats.org/officeDocument/2006/relationships/hyperlink" Target="https://talkingpts.org/teachers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wes.org/resource-library/blog/credential-advice/why-upgrade-to-cxc-report/" TargetMode="External"/><Relationship Id="rId2" Type="http://schemas.openxmlformats.org/officeDocument/2006/relationships/hyperlink" Target="https://www.wes.org/credential-evaluation-for-employment/" TargetMode="External"/><Relationship Id="rId3" Type="http://schemas.openxmlformats.org/officeDocument/2006/relationships/hyperlink" Target="https://www.wes.org/evaluations/" TargetMode="External"/><Relationship Id="rId4" Type="http://schemas.openxmlformats.org/officeDocument/2006/relationships/hyperlink" Target="https://www.wes.org/current-processing/" TargetMode="External"/><Relationship Id="rId5" Type="http://schemas.openxmlformats.org/officeDocument/2006/relationships/hyperlink" Target="https://www.wes.org/resource-library/blog/credential-advice/verification-status/" TargetMode="External"/><Relationship Id="rId6" Type="http://schemas.openxmlformats.org/officeDocument/2006/relationships/hyperlink" Target="https://www.wes.org/resource-library/blog/credential-advice/understanding-required-documents-for-credential-evaluation/" TargetMode="External"/><Relationship Id="rId7" Type="http://schemas.openxmlformats.org/officeDocument/2006/relationships/hyperlink" Target="https://www.wes.org/send-electronic-academic-records/" TargetMode="External"/><Relationship Id="rId8" Type="http://schemas.openxmlformats.org/officeDocument/2006/relationships/hyperlink" Target="https://www.wes.org/social-impact/programming/wes-gateway-program/" TargetMode="External"/><Relationship Id="rId9" Type="http://schemas.openxmlformats.org/officeDocument/2006/relationships/hyperlink" Target="https://www.wes.org/resource-library/blog/credential-advice/the-difference-between-document-by-document-and-course-by-course-credential-evaluation-reports/" TargetMode="External"/><Relationship Id="rId10" Type="http://schemas.openxmlformats.org/officeDocument/2006/relationships/hyperlink" Target="https://www.ece.org/ECE/Credential-Evaluations/US-Institutions/Services-and-Fees" TargetMode="External"/><Relationship Id="rId11" Type="http://schemas.openxmlformats.org/officeDocument/2006/relationships/hyperlink" Target="https://www.ece.org/ECE/Credential-Evaluations/Individual-FAQs" TargetMode="External"/><Relationship Id="rId12" Type="http://schemas.openxmlformats.org/officeDocument/2006/relationships/hyperlink" Target="https://www.ece.org/ECE/Credential-Evaluations/Documentation-Requirements" TargetMode="External"/><Relationship Id="rId13" Type="http://schemas.openxmlformats.org/officeDocument/2006/relationships/hyperlink" Target="https://www.ece.org/ECE/ECE-Aid" TargetMode="External"/><Relationship Id="rId14" Type="http://schemas.openxmlformats.org/officeDocument/2006/relationships/hyperlink" Target="https://www.ece.org/ECE/Institutions-and-Agencies/MAPs" TargetMode="External"/><Relationship Id="rId15" Type="http://schemas.openxmlformats.org/officeDocument/2006/relationships/hyperlink" Target="https://www.ece.org/ECE/Institutions-and-Agencies/ECE-Dispatch-Login" TargetMode="External"/><Relationship Id="rId16" Type="http://schemas.openxmlformats.org/officeDocument/2006/relationships/hyperlink" Target="https://www.ece.org/Blogs/The-ECE-Foreign-Transcript-Evaluation-Process.htm" TargetMode="External"/><Relationship Id="rId17" Type="http://schemas.openxmlformats.org/officeDocument/2006/relationships/hyperlink" Target="https://www.ece.org/ECE/Institutions-and-Agencies/Institution-Reports/Doc-Authentication-Reports" TargetMode="External"/><Relationship Id="rId18" Type="http://schemas.openxmlformats.org/officeDocument/2006/relationships/hyperlink" Target="https://www.ece.org/Blogs/ECE-is-a-nonprofit-organization.htm" TargetMode="External"/><Relationship Id="rId19" Type="http://schemas.openxmlformats.org/officeDocument/2006/relationships/hyperlink" Target="https://www.curriculumassociates.com/programs/i-ready-assessment/diagnostic" TargetMode="External"/><Relationship Id="rId20" Type="http://schemas.openxmlformats.org/officeDocument/2006/relationships/hyperlink" Target="https://www.curriculumassociates.com/programs/i-ready-assessment/admin-resources/spanish-assessment" TargetMode="External"/><Relationship Id="rId21" Type="http://schemas.openxmlformats.org/officeDocument/2006/relationships/hyperlink" Target="https://www.curriculumassociates.com/programs/i-ready-assessment/adaptive-spanish-reading" TargetMode="External"/><Relationship Id="rId22" Type="http://schemas.openxmlformats.org/officeDocument/2006/relationships/hyperlink" Target="https://www.curriculumassociates.com/family" TargetMode="External"/><Relationship Id="rId23" Type="http://schemas.openxmlformats.org/officeDocument/2006/relationships/hyperlink" Target="https://www.curriculumassociates.com/programs/i-ready-learning/personalized-instruction" TargetMode="External"/><Relationship Id="rId24" Type="http://schemas.openxmlformats.org/officeDocument/2006/relationships/hyperlink" Target="https://www.curriculumassociates.com/programs/i-ready-learning/personalized-instruction/purchasing" TargetMode="External"/><Relationship Id="rId25" Type="http://schemas.openxmlformats.org/officeDocument/2006/relationships/hyperlink" Target="https://www.curriculumassociates.com/privacy/i-ready" TargetMode="External"/><Relationship Id="rId26" Type="http://schemas.openxmlformats.org/officeDocument/2006/relationships/hyperlink" Target="https://www.curriculumassociates.com/about/press-releases/2021/07/ellevation-press-release" TargetMode="External"/><Relationship Id="rId27" Type="http://schemas.openxmlformats.org/officeDocument/2006/relationships/hyperlink" Target="https://ellevationeducation.com/product/ellevation-platform" TargetMode="External"/><Relationship Id="rId28" Type="http://schemas.openxmlformats.org/officeDocument/2006/relationships/hyperlink" Target="https://ellevationeducation.com/product/ellevation-platform/default" TargetMode="External"/><Relationship Id="rId29" Type="http://schemas.openxmlformats.org/officeDocument/2006/relationships/hyperlink" Target="https://ellevationeducation.com/family-communication" TargetMode="External"/><Relationship Id="rId30" Type="http://schemas.openxmlformats.org/officeDocument/2006/relationships/hyperlink" Target="https://ellevationeducation.com/product/ellevation-strategies" TargetMode="External"/><Relationship Id="rId31" Type="http://schemas.openxmlformats.org/officeDocument/2006/relationships/hyperlink" Target="https://ellevationeducation.com/blog/ellevation-benchmark-unified-eld-solution" TargetMode="External"/><Relationship Id="rId32" Type="http://schemas.openxmlformats.org/officeDocument/2006/relationships/hyperlink" Target="https://ellevationeducation.com/security-and-privacy" TargetMode="External"/><Relationship Id="rId33" Type="http://schemas.openxmlformats.org/officeDocument/2006/relationships/hyperlink" Target="https://ellevationeducation.com/faqs" TargetMode="External"/><Relationship Id="rId34" Type="http://schemas.openxmlformats.org/officeDocument/2006/relationships/hyperlink" Target="https://ellevationeducation.com/buy-ellevation-funding" TargetMode="External"/><Relationship Id="rId35" Type="http://schemas.openxmlformats.org/officeDocument/2006/relationships/hyperlink" Target="https://talkingpts.org/teachers/" TargetMode="External"/><Relationship Id="rId36" Type="http://schemas.openxmlformats.org/officeDocument/2006/relationships/hyperlink" Target="https://talkingpts.org/blog/here-are-the-questions-everyone-always-asks-us-about-talkingpoints/11303/" TargetMode="External"/><Relationship Id="rId37" Type="http://schemas.openxmlformats.org/officeDocument/2006/relationships/hyperlink" Target="https://talkingpts.org/blog/using-ai-and-technology-to-support-multilingual-students/13470/" TargetMode="External"/><Relationship Id="rId38" Type="http://schemas.openxmlformats.org/officeDocument/2006/relationships/hyperlink" Target="https://talkingpts.org/about-us/" TargetMode="External"/><Relationship Id="rId39" Type="http://schemas.openxmlformats.org/officeDocument/2006/relationships/hyperlink" Target="https://talkingpts.org/pdf/TalkingPoints-for-Schools-and-Districts.pdf" TargetMode="External"/><Relationship Id="rId40" Type="http://schemas.openxmlformats.org/officeDocument/2006/relationships/hyperlink" Target="https://talkingpts.org/data-informed-guidance/" TargetMode="External"/><Relationship Id="rId41" Type="http://schemas.openxmlformats.org/officeDocument/2006/relationships/hyperlink" Target="https://talkingpts.org/bts-25/" TargetMode="External"/><Relationship Id="rId42" Type="http://schemas.openxmlformats.org/officeDocument/2006/relationships/hyperlink" Target="https://talkingpts.org/privacy-and-security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20"/>
    <col collapsed="false" customWidth="true" hidden="false" outlineLevel="0" max="6" min="6" style="0" width="34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s">
        <v>7</v>
      </c>
      <c r="B5" s="6" t="s">
        <v>8</v>
      </c>
      <c r="C5" s="7" t="n">
        <f aca="false">'Features &amp; Benefits Matrix'!D50</f>
        <v>27</v>
      </c>
      <c r="D5" s="7" t="n">
        <f aca="false">'Features &amp; Benefits Matrix'!D97</f>
        <v>27</v>
      </c>
      <c r="E5" s="7" t="n">
        <f aca="false">COUNTIFS('Features &amp; Benefits Matrix'!D7:D49,"x",'Features &amp; Benefits Matrix'!K7:K49,1)</f>
        <v>3</v>
      </c>
    </row>
    <row r="6" customFormat="false" ht="15" hidden="false" customHeight="false" outlineLevel="0" collapsed="false">
      <c r="A6" s="8" t="s">
        <v>9</v>
      </c>
      <c r="B6" s="9" t="s">
        <v>10</v>
      </c>
      <c r="C6" s="10" t="n">
        <f aca="false">'Features &amp; Benefits Matrix'!E50</f>
        <v>10</v>
      </c>
      <c r="D6" s="10" t="n">
        <f aca="false">'Features &amp; Benefits Matrix'!E97</f>
        <v>10</v>
      </c>
      <c r="E6" s="10" t="n">
        <f aca="false">COUNTIFS('Features &amp; Benefits Matrix'!E7:E49,"x",'Features &amp; Benefits Matrix'!K7:K49,1)</f>
        <v>0</v>
      </c>
    </row>
    <row r="7" customFormat="false" ht="15" hidden="false" customHeight="false" outlineLevel="0" collapsed="false">
      <c r="A7" s="8" t="s">
        <v>11</v>
      </c>
      <c r="B7" s="9" t="s">
        <v>10</v>
      </c>
      <c r="C7" s="10" t="n">
        <f aca="false">'Features &amp; Benefits Matrix'!F50</f>
        <v>14</v>
      </c>
      <c r="D7" s="10" t="n">
        <f aca="false">'Features &amp; Benefits Matrix'!F97</f>
        <v>14</v>
      </c>
      <c r="E7" s="10" t="n">
        <f aca="false">COUNTIFS('Features &amp; Benefits Matrix'!F7:F49,"x",'Features &amp; Benefits Matrix'!K7:K49,1)</f>
        <v>0</v>
      </c>
    </row>
    <row r="8" customFormat="false" ht="15" hidden="false" customHeight="false" outlineLevel="0" collapsed="false">
      <c r="A8" s="8" t="s">
        <v>12</v>
      </c>
      <c r="B8" s="9" t="s">
        <v>13</v>
      </c>
      <c r="C8" s="10" t="n">
        <f aca="false">'Features &amp; Benefits Matrix'!G50</f>
        <v>12</v>
      </c>
      <c r="D8" s="10" t="n">
        <f aca="false">'Features &amp; Benefits Matrix'!G97</f>
        <v>12</v>
      </c>
      <c r="E8" s="10" t="n">
        <f aca="false">COUNTIFS('Features &amp; Benefits Matrix'!G7:G49,"x",'Features &amp; Benefits Matrix'!K7:K49,1)</f>
        <v>1</v>
      </c>
    </row>
    <row r="9" customFormat="false" ht="15" hidden="false" customHeight="false" outlineLevel="0" collapsed="false">
      <c r="A9" s="8" t="s">
        <v>14</v>
      </c>
      <c r="B9" s="9" t="s">
        <v>15</v>
      </c>
      <c r="C9" s="10" t="n">
        <f aca="false">'Features &amp; Benefits Matrix'!H50</f>
        <v>11</v>
      </c>
      <c r="D9" s="10" t="n">
        <f aca="false">'Features &amp; Benefits Matrix'!H97</f>
        <v>11</v>
      </c>
      <c r="E9" s="10" t="n">
        <f aca="false">COUNTIFS('Features &amp; Benefits Matrix'!H7:H49,"x",'Features &amp; Benefits Matrix'!K7:K49,1)</f>
        <v>1</v>
      </c>
    </row>
    <row r="10" customFormat="false" ht="15" hidden="false" customHeight="false" outlineLevel="0" collapsed="false">
      <c r="A10" s="8" t="s">
        <v>16</v>
      </c>
      <c r="B10" s="9" t="s">
        <v>17</v>
      </c>
      <c r="C10" s="10" t="n">
        <f aca="false">'Features &amp; Benefits Matrix'!I50</f>
        <v>10</v>
      </c>
      <c r="D10" s="10" t="n">
        <f aca="false">'Features &amp; Benefits Matrix'!I97</f>
        <v>10</v>
      </c>
      <c r="E10" s="10" t="n">
        <f aca="false">COUNTIFS('Features &amp; Benefits Matrix'!I7:I49,"x",'Features &amp; Benefits Matrix'!K7:K49,1)</f>
        <v>2</v>
      </c>
    </row>
    <row r="11" customFormat="false" ht="15" hidden="false" customHeight="false" outlineLevel="0" collapsed="false">
      <c r="A11" s="8" t="s">
        <v>18</v>
      </c>
      <c r="B11" s="9" t="s">
        <v>19</v>
      </c>
      <c r="C11" s="10" t="n">
        <f aca="false">'Features &amp; Benefits Matrix'!J50</f>
        <v>1</v>
      </c>
      <c r="D11" s="10" t="n">
        <f aca="false">'Features &amp; Benefits Matrix'!J97</f>
        <v>1</v>
      </c>
      <c r="E11" s="10" t="n">
        <f aca="false">COUNTIFS('Features &amp; Benefits Matrix'!J7:J49,"x",'Features &amp; Benefits Matrix'!K7:K49,1)</f>
        <v>0</v>
      </c>
    </row>
    <row r="13" customFormat="false" ht="15" hidden="false" customHeight="false" outlineLevel="0" collapsed="false">
      <c r="A13" s="11" t="s">
        <v>20</v>
      </c>
    </row>
    <row r="15" customFormat="false" ht="16.15" hidden="false" customHeight="false" outlineLevel="0" collapsed="false">
      <c r="A15" s="12" t="s">
        <v>21</v>
      </c>
    </row>
    <row r="16" customFormat="false" ht="15" hidden="false" customHeight="false" outlineLevel="0" collapsed="false">
      <c r="A16" s="13" t="s">
        <v>22</v>
      </c>
      <c r="B16" s="13"/>
      <c r="C16" s="13"/>
      <c r="D16" s="13"/>
      <c r="E16" s="13"/>
      <c r="F16" s="13"/>
    </row>
    <row r="17" customFormat="false" ht="66" hidden="false" customHeight="true" outlineLevel="0" collapsed="false">
      <c r="A17" s="14" t="str">
        <f aca="false">"Eight categories emerge, and the field splits into three camps. Credential evaluators cluster in record capture and course mapping (WES "&amp;(COUNTIF('Features &amp; Benefits Matrix'!E7:E11,"x")+COUNTIF('Features &amp; Benefits Matrix'!E13:E16,"x"))&amp;", ECE "&amp;(COUNTIF('Features &amp; Benefits Matrix'!F7:F11,"x")+COUNTIF('Features &amp; Benefits Matrix'!F13:F16,"x"))&amp;" of 9 features); "&amp;"i-Ready and Ellevation cluster in skills and decision support ("&amp;(COUNTIF('Features &amp; Benefits Matrix'!G18:G21,"x")+COUNTIF('Features &amp; Benefits Matrix'!G23:G26,"x"))&amp;" and "&amp;(COUNTIF('Features &amp; Benefits Matrix'!H18:H21,"x")+COUNTIF('Features &amp; Benefits Matrix'!H23:H26,"x"))&amp;" of 8); TalkingPoints owns family communication ("&amp;(COUNTIF('Features &amp; Benefits Matrix'!I28:I33,"x"))&amp;" of 6). "&amp;"Benefits follow the same split: trusted equivalency, classroom instruction and compliance, and family reach."</f>
        <v>Eight categories emerge, and the field splits into three camps. Credential evaluators cluster in record capture and course mapping (WES 6, ECE 7 of 9 features); i-Ready and Ellevation cluster in skills and decision support (6 and 4 of 8); TalkingPoints owns family communication (5 of 6). Benefits follow the same split: trusted equivalency, classroom instruction and compliance, and family reach.</v>
      </c>
      <c r="B17" s="14"/>
      <c r="C17" s="14"/>
      <c r="D17" s="14"/>
      <c r="E17" s="14"/>
      <c r="F17" s="14"/>
    </row>
    <row r="19" customFormat="false" ht="15" hidden="false" customHeight="false" outlineLevel="0" collapsed="false">
      <c r="A19" s="13" t="s">
        <v>23</v>
      </c>
      <c r="B19" s="13"/>
      <c r="C19" s="13"/>
      <c r="D19" s="13"/>
      <c r="E19" s="13"/>
      <c r="F19" s="13"/>
    </row>
    <row r="20" customFormat="false" ht="66" hidden="false" customHeight="true" outlineLevel="0" collapsed="false">
      <c r="A20" s="14" t="str">
        <f aca="false">"Paso's planned MVP marks "&amp;C5&amp;" of 36 features; the closest competitor, "&amp;INDEX(A6:A10,MATCH(MAX(C6:C10),C6:C10,0))&amp;", marks "&amp;MAX(C6:C10)&amp;". "&amp;"Paso alone plans "&amp;E5&amp;" of them, led by one recommendation that combines records with a skills check and a match to local grade level and courses. "&amp;"Paso deliberately leaves out document authentication, adaptive testing, lessons and district sales."</f>
        <v>Paso's planned MVP marks 27 of 36 features; the closest competitor, ECE, marks 14. Paso alone plans 3 of them, led by one recommendation that combines records with a skills check and a match to local grade level and courses. Paso deliberately leaves out document authentication, adaptive testing, lessons and district sales.</v>
      </c>
      <c r="B20" s="14"/>
      <c r="C20" s="14"/>
      <c r="D20" s="14"/>
      <c r="E20" s="14"/>
      <c r="F20" s="14"/>
    </row>
    <row r="22" customFormat="false" ht="15" hidden="false" customHeight="false" outlineLevel="0" collapsed="false">
      <c r="A22" s="13" t="s">
        <v>24</v>
      </c>
      <c r="B22" s="13"/>
      <c r="C22" s="13"/>
      <c r="D22" s="13"/>
      <c r="E22" s="13"/>
      <c r="F22" s="13"/>
    </row>
    <row r="23" customFormat="false" ht="66" hidden="false" customHeight="true" outlineLevel="0" collapsed="false">
      <c r="A23" s="14" t="s">
        <v>25</v>
      </c>
      <c r="B23" s="14"/>
      <c r="C23" s="14"/>
      <c r="D23" s="14"/>
      <c r="E23" s="14"/>
      <c r="F23" s="14"/>
    </row>
    <row r="25" customFormat="false" ht="16.15" hidden="false" customHeight="false" outlineLevel="0" collapsed="false">
      <c r="A25" s="12" t="s">
        <v>26</v>
      </c>
    </row>
    <row r="26" customFormat="false" ht="78" hidden="false" customHeight="true" outlineLevel="0" collapsed="false">
      <c r="A26" s="14" t="s">
        <v>27</v>
      </c>
      <c r="B26" s="14"/>
      <c r="C26" s="14"/>
      <c r="D26" s="14"/>
      <c r="E26" s="14"/>
      <c r="F26" s="14"/>
    </row>
    <row r="28" customFormat="false" ht="15" hidden="false" customHeight="false" outlineLevel="0" collapsed="false">
      <c r="A28" s="15" t="s">
        <v>28</v>
      </c>
    </row>
    <row r="29" customFormat="false" ht="31.5" hidden="false" customHeight="true" outlineLevel="0" collapsed="false">
      <c r="A29" s="16" t="s">
        <v>29</v>
      </c>
      <c r="B29" s="16"/>
      <c r="C29" s="16"/>
      <c r="D29" s="16"/>
      <c r="E29" s="16"/>
      <c r="F29" s="16"/>
    </row>
  </sheetData>
  <mergeCells count="8">
    <mergeCell ref="A16:F16"/>
    <mergeCell ref="A17:F17"/>
    <mergeCell ref="A19:F19"/>
    <mergeCell ref="A20:F20"/>
    <mergeCell ref="A22:F22"/>
    <mergeCell ref="A23:F23"/>
    <mergeCell ref="A26:F26"/>
    <mergeCell ref="A29:F29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4" min="3" style="0" width="58"/>
    <col collapsed="false" customWidth="true" hidden="false" outlineLevel="0" max="5" min="5" style="0" width="14"/>
  </cols>
  <sheetData>
    <row r="1" customFormat="false" ht="24" hidden="false" customHeight="tru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28.35" hidden="false" customHeight="false" outlineLevel="0" collapsed="false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</row>
    <row r="5" customFormat="false" ht="46.5" hidden="false" customHeight="true" outlineLevel="0" collapsed="false">
      <c r="A5" s="17" t="n">
        <v>1</v>
      </c>
      <c r="B5" s="18" t="s">
        <v>37</v>
      </c>
      <c r="C5" s="17" t="s">
        <v>38</v>
      </c>
      <c r="D5" s="17" t="s">
        <v>39</v>
      </c>
      <c r="E5" s="17"/>
    </row>
    <row r="6" customFormat="false" ht="46.5" hidden="false" customHeight="true" outlineLevel="0" collapsed="false">
      <c r="A6" s="17" t="n">
        <v>2</v>
      </c>
      <c r="B6" s="18" t="s">
        <v>40</v>
      </c>
      <c r="C6" s="17" t="s">
        <v>41</v>
      </c>
      <c r="D6" s="17" t="s">
        <v>42</v>
      </c>
      <c r="E6" s="17"/>
    </row>
    <row r="7" customFormat="false" ht="31.5" hidden="false" customHeight="true" outlineLevel="0" collapsed="false">
      <c r="A7" s="17" t="n">
        <v>3</v>
      </c>
      <c r="B7" s="18" t="s">
        <v>43</v>
      </c>
      <c r="C7" s="17" t="s">
        <v>44</v>
      </c>
      <c r="D7" s="17" t="s">
        <v>45</v>
      </c>
      <c r="E7" s="17"/>
    </row>
    <row r="8" customFormat="false" ht="60.75" hidden="false" customHeight="true" outlineLevel="0" collapsed="false">
      <c r="A8" s="17" t="n">
        <v>4</v>
      </c>
      <c r="B8" s="18" t="s">
        <v>46</v>
      </c>
      <c r="C8" s="17" t="s">
        <v>47</v>
      </c>
      <c r="D8" s="17" t="s">
        <v>48</v>
      </c>
      <c r="E8" s="17"/>
    </row>
    <row r="9" customFormat="false" ht="60.75" hidden="false" customHeight="true" outlineLevel="0" collapsed="false">
      <c r="A9" s="19" t="n">
        <v>5</v>
      </c>
      <c r="B9" s="20" t="s">
        <v>49</v>
      </c>
      <c r="C9" s="19" t="s">
        <v>50</v>
      </c>
      <c r="D9" s="19" t="s">
        <v>51</v>
      </c>
      <c r="E9" s="20" t="s">
        <v>52</v>
      </c>
    </row>
    <row r="10" customFormat="false" ht="46.5" hidden="false" customHeight="true" outlineLevel="0" collapsed="false">
      <c r="A10" s="17" t="n">
        <v>6</v>
      </c>
      <c r="B10" s="18" t="s">
        <v>53</v>
      </c>
      <c r="C10" s="17" t="s">
        <v>54</v>
      </c>
      <c r="D10" s="17" t="s">
        <v>55</v>
      </c>
      <c r="E10" s="17"/>
    </row>
    <row r="11" customFormat="false" ht="31.5" hidden="false" customHeight="true" outlineLevel="0" collapsed="false">
      <c r="A11" s="17" t="n">
        <v>7</v>
      </c>
      <c r="B11" s="18" t="s">
        <v>56</v>
      </c>
      <c r="C11" s="17" t="s">
        <v>57</v>
      </c>
      <c r="D11" s="17" t="s">
        <v>58</v>
      </c>
      <c r="E11" s="17"/>
    </row>
    <row r="12" customFormat="false" ht="31.5" hidden="false" customHeight="true" outlineLevel="0" collapsed="false">
      <c r="A12" s="17" t="n">
        <v>8</v>
      </c>
      <c r="B12" s="18" t="s">
        <v>59</v>
      </c>
      <c r="C12" s="17" t="s">
        <v>60</v>
      </c>
      <c r="D12" s="17" t="s">
        <v>61</v>
      </c>
      <c r="E12" s="17"/>
    </row>
    <row r="13" customFormat="false" ht="46.5" hidden="false" customHeight="true" outlineLevel="0" collapsed="false">
      <c r="A13" s="17" t="n">
        <v>9</v>
      </c>
      <c r="B13" s="18" t="s">
        <v>62</v>
      </c>
      <c r="C13" s="17" t="s">
        <v>63</v>
      </c>
      <c r="D13" s="17" t="s">
        <v>64</v>
      </c>
      <c r="E13" s="17"/>
    </row>
    <row r="15" customFormat="false" ht="15" hidden="false" customHeight="false" outlineLevel="0" collapsed="false">
      <c r="B15" s="21" t="s">
        <v>65</v>
      </c>
    </row>
    <row r="16" customFormat="false" ht="48" hidden="false" customHeight="true" outlineLevel="0" collapsed="false">
      <c r="B16" s="14" t="s">
        <v>66</v>
      </c>
      <c r="C16" s="14"/>
      <c r="D16" s="14"/>
    </row>
    <row r="18" customFormat="false" ht="15" hidden="false" customHeight="false" outlineLevel="0" collapsed="false">
      <c r="B18" s="21" t="s">
        <v>67</v>
      </c>
    </row>
    <row r="19" customFormat="false" ht="15" hidden="false" customHeight="false" outlineLevel="0" collapsed="false">
      <c r="B19" s="22" t="s">
        <v>68</v>
      </c>
      <c r="C19" s="22" t="s">
        <v>69</v>
      </c>
      <c r="D19" s="22" t="s">
        <v>70</v>
      </c>
    </row>
    <row r="20" customFormat="false" ht="17.25" hidden="false" customHeight="true" outlineLevel="0" collapsed="false">
      <c r="B20" s="18" t="s">
        <v>71</v>
      </c>
      <c r="C20" s="17" t="s">
        <v>72</v>
      </c>
      <c r="D20" s="17" t="s">
        <v>73</v>
      </c>
    </row>
    <row r="21" customFormat="false" ht="31.5" hidden="false" customHeight="true" outlineLevel="0" collapsed="false">
      <c r="B21" s="18" t="s">
        <v>74</v>
      </c>
      <c r="C21" s="17" t="s">
        <v>75</v>
      </c>
      <c r="D21" s="17" t="s">
        <v>76</v>
      </c>
    </row>
    <row r="22" customFormat="false" ht="31.5" hidden="false" customHeight="true" outlineLevel="0" collapsed="false">
      <c r="B22" s="18" t="s">
        <v>77</v>
      </c>
      <c r="C22" s="17" t="s">
        <v>78</v>
      </c>
      <c r="D22" s="17" t="s">
        <v>79</v>
      </c>
    </row>
    <row r="23" customFormat="false" ht="17.25" hidden="false" customHeight="true" outlineLevel="0" collapsed="false">
      <c r="B23" s="18" t="s">
        <v>80</v>
      </c>
      <c r="C23" s="17" t="s">
        <v>81</v>
      </c>
      <c r="D23" s="17" t="s">
        <v>82</v>
      </c>
    </row>
    <row r="24" customFormat="false" ht="46.5" hidden="false" customHeight="true" outlineLevel="0" collapsed="false">
      <c r="B24" s="18" t="s">
        <v>83</v>
      </c>
      <c r="C24" s="17" t="s">
        <v>84</v>
      </c>
      <c r="D24" s="17" t="s">
        <v>85</v>
      </c>
    </row>
    <row r="26" customFormat="false" ht="15" hidden="false" customHeight="false" outlineLevel="0" collapsed="false">
      <c r="B26" s="21" t="s">
        <v>86</v>
      </c>
    </row>
    <row r="27" customFormat="false" ht="17.25" hidden="false" customHeight="true" outlineLevel="0" collapsed="false">
      <c r="B27" s="23" t="s">
        <v>87</v>
      </c>
      <c r="C27" s="24" t="s">
        <v>88</v>
      </c>
    </row>
    <row r="28" customFormat="false" ht="17.25" hidden="false" customHeight="true" outlineLevel="0" collapsed="false">
      <c r="B28" s="23" t="s">
        <v>89</v>
      </c>
      <c r="C28" s="24" t="s">
        <v>90</v>
      </c>
    </row>
    <row r="29" customFormat="false" ht="31.5" hidden="false" customHeight="true" outlineLevel="0" collapsed="false">
      <c r="B29" s="23" t="s">
        <v>91</v>
      </c>
      <c r="C29" s="24" t="s">
        <v>92</v>
      </c>
    </row>
    <row r="30" customFormat="false" ht="31.5" hidden="false" customHeight="true" outlineLevel="0" collapsed="false">
      <c r="B30" s="23" t="s">
        <v>93</v>
      </c>
      <c r="C30" s="24" t="s">
        <v>94</v>
      </c>
    </row>
    <row r="31" customFormat="false" ht="17.25" hidden="false" customHeight="true" outlineLevel="0" collapsed="false">
      <c r="B31" s="23" t="s">
        <v>95</v>
      </c>
      <c r="C31" s="24" t="s">
        <v>96</v>
      </c>
    </row>
  </sheetData>
  <mergeCells count="1">
    <mergeCell ref="B16:D16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10" min="9" style="0" width="14"/>
    <col collapsed="false" customWidth="true" hidden="false" outlineLevel="0" max="11" min="11" style="0" width="10"/>
  </cols>
  <sheetData>
    <row r="1" customFormat="false" ht="24" hidden="false" customHeight="tru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31.5" hidden="false" customHeight="true" outlineLevel="0" collapsed="false">
      <c r="A4" s="3" t="s">
        <v>32</v>
      </c>
      <c r="B4" s="3" t="s">
        <v>99</v>
      </c>
      <c r="C4" s="3" t="s">
        <v>100</v>
      </c>
      <c r="D4" s="25" t="s">
        <v>7</v>
      </c>
      <c r="E4" s="4" t="s">
        <v>9</v>
      </c>
      <c r="F4" s="4" t="s">
        <v>11</v>
      </c>
      <c r="G4" s="4" t="s">
        <v>12</v>
      </c>
      <c r="H4" s="4" t="s">
        <v>14</v>
      </c>
      <c r="I4" s="4" t="s">
        <v>16</v>
      </c>
      <c r="J4" s="4" t="s">
        <v>18</v>
      </c>
      <c r="K4" s="4" t="s">
        <v>101</v>
      </c>
    </row>
    <row r="5" customFormat="false" ht="19.5" hidden="false" customHeight="true" outlineLevel="0" collapsed="false">
      <c r="A5" s="21" t="s">
        <v>102</v>
      </c>
    </row>
    <row r="6" customFormat="false" ht="15" hidden="false" customHeight="false" outlineLevel="0" collapsed="false">
      <c r="A6" s="26"/>
      <c r="B6" s="27" t="s">
        <v>103</v>
      </c>
      <c r="C6" s="26"/>
      <c r="D6" s="26"/>
      <c r="E6" s="26"/>
      <c r="F6" s="26"/>
      <c r="G6" s="26"/>
      <c r="H6" s="26"/>
      <c r="I6" s="26"/>
      <c r="J6" s="26"/>
      <c r="K6" s="26"/>
    </row>
    <row r="7" customFormat="false" ht="17.25" hidden="false" customHeight="true" outlineLevel="0" collapsed="false">
      <c r="A7" s="9" t="s">
        <v>104</v>
      </c>
      <c r="B7" s="9" t="s">
        <v>103</v>
      </c>
      <c r="C7" s="17" t="s">
        <v>105</v>
      </c>
      <c r="D7" s="28" t="s">
        <v>106</v>
      </c>
      <c r="E7" s="29" t="s">
        <v>106</v>
      </c>
      <c r="F7" s="29" t="s">
        <v>106</v>
      </c>
      <c r="G7" s="30"/>
      <c r="H7" s="30"/>
      <c r="I7" s="30"/>
      <c r="J7" s="30"/>
      <c r="K7" s="30" t="n">
        <f aca="false">COUNTIF(D7:J7,"x")</f>
        <v>3</v>
      </c>
    </row>
    <row r="8" customFormat="false" ht="17.25" hidden="false" customHeight="true" outlineLevel="0" collapsed="false">
      <c r="A8" s="9" t="s">
        <v>107</v>
      </c>
      <c r="B8" s="9" t="s">
        <v>103</v>
      </c>
      <c r="C8" s="17" t="s">
        <v>108</v>
      </c>
      <c r="D8" s="28" t="s">
        <v>106</v>
      </c>
      <c r="E8" s="29" t="s">
        <v>106</v>
      </c>
      <c r="F8" s="30"/>
      <c r="G8" s="30"/>
      <c r="H8" s="30"/>
      <c r="I8" s="30"/>
      <c r="J8" s="30"/>
      <c r="K8" s="30" t="n">
        <f aca="false">COUNTIF(D8:J8,"x")</f>
        <v>2</v>
      </c>
    </row>
    <row r="9" customFormat="false" ht="17.25" hidden="false" customHeight="true" outlineLevel="0" collapsed="false">
      <c r="A9" s="9" t="s">
        <v>109</v>
      </c>
      <c r="B9" s="9" t="s">
        <v>103</v>
      </c>
      <c r="C9" s="17" t="s">
        <v>110</v>
      </c>
      <c r="D9" s="28" t="s">
        <v>106</v>
      </c>
      <c r="E9" s="30"/>
      <c r="F9" s="29" t="s">
        <v>106</v>
      </c>
      <c r="G9" s="30"/>
      <c r="H9" s="30"/>
      <c r="I9" s="30"/>
      <c r="J9" s="29" t="s">
        <v>106</v>
      </c>
      <c r="K9" s="30" t="n">
        <f aca="false">COUNTIF(D9:J9,"x")</f>
        <v>3</v>
      </c>
    </row>
    <row r="10" customFormat="false" ht="17.25" hidden="false" customHeight="true" outlineLevel="0" collapsed="false">
      <c r="A10" s="9" t="s">
        <v>111</v>
      </c>
      <c r="B10" s="9" t="s">
        <v>103</v>
      </c>
      <c r="C10" s="17" t="s">
        <v>112</v>
      </c>
      <c r="D10" s="28" t="s">
        <v>106</v>
      </c>
      <c r="E10" s="30"/>
      <c r="F10" s="29" t="s">
        <v>106</v>
      </c>
      <c r="G10" s="30"/>
      <c r="H10" s="30"/>
      <c r="I10" s="30"/>
      <c r="J10" s="30"/>
      <c r="K10" s="30" t="n">
        <f aca="false">COUNTIF(D10:J10,"x")</f>
        <v>2</v>
      </c>
    </row>
    <row r="11" customFormat="false" ht="17.25" hidden="false" customHeight="true" outlineLevel="0" collapsed="false">
      <c r="A11" s="9" t="s">
        <v>113</v>
      </c>
      <c r="B11" s="9" t="s">
        <v>103</v>
      </c>
      <c r="C11" s="17" t="s">
        <v>114</v>
      </c>
      <c r="D11" s="31"/>
      <c r="E11" s="29" t="s">
        <v>106</v>
      </c>
      <c r="F11" s="29" t="s">
        <v>106</v>
      </c>
      <c r="G11" s="30"/>
      <c r="H11" s="30"/>
      <c r="I11" s="30"/>
      <c r="J11" s="30"/>
      <c r="K11" s="30" t="n">
        <f aca="false">COUNTIF(D11:J11,"x")</f>
        <v>2</v>
      </c>
    </row>
    <row r="12" customFormat="false" ht="15" hidden="false" customHeight="false" outlineLevel="0" collapsed="false">
      <c r="A12" s="26"/>
      <c r="B12" s="27" t="s">
        <v>115</v>
      </c>
      <c r="C12" s="26"/>
      <c r="D12" s="26"/>
      <c r="E12" s="26"/>
      <c r="F12" s="26"/>
      <c r="G12" s="26"/>
      <c r="H12" s="26"/>
      <c r="I12" s="26"/>
      <c r="J12" s="26"/>
      <c r="K12" s="26"/>
    </row>
    <row r="13" customFormat="false" ht="17.25" hidden="false" customHeight="true" outlineLevel="0" collapsed="false">
      <c r="A13" s="9" t="s">
        <v>116</v>
      </c>
      <c r="B13" s="9" t="s">
        <v>115</v>
      </c>
      <c r="C13" s="17" t="s">
        <v>117</v>
      </c>
      <c r="D13" s="28" t="s">
        <v>106</v>
      </c>
      <c r="E13" s="29" t="s">
        <v>106</v>
      </c>
      <c r="F13" s="29" t="s">
        <v>106</v>
      </c>
      <c r="G13" s="30"/>
      <c r="H13" s="30"/>
      <c r="I13" s="30"/>
      <c r="J13" s="30"/>
      <c r="K13" s="30" t="n">
        <f aca="false">COUNTIF(D13:J13,"x")</f>
        <v>3</v>
      </c>
    </row>
    <row r="14" customFormat="false" ht="17.25" hidden="false" customHeight="true" outlineLevel="0" collapsed="false">
      <c r="A14" s="9" t="s">
        <v>118</v>
      </c>
      <c r="B14" s="9" t="s">
        <v>115</v>
      </c>
      <c r="C14" s="17" t="s">
        <v>119</v>
      </c>
      <c r="D14" s="28" t="s">
        <v>106</v>
      </c>
      <c r="E14" s="29" t="s">
        <v>106</v>
      </c>
      <c r="F14" s="29" t="s">
        <v>106</v>
      </c>
      <c r="G14" s="30"/>
      <c r="H14" s="30"/>
      <c r="I14" s="30"/>
      <c r="J14" s="30"/>
      <c r="K14" s="30" t="n">
        <f aca="false">COUNTIF(D14:J14,"x")</f>
        <v>3</v>
      </c>
    </row>
    <row r="15" customFormat="false" ht="17.25" hidden="false" customHeight="true" outlineLevel="0" collapsed="false">
      <c r="A15" s="9" t="s">
        <v>120</v>
      </c>
      <c r="B15" s="9" t="s">
        <v>115</v>
      </c>
      <c r="C15" s="17" t="s">
        <v>121</v>
      </c>
      <c r="D15" s="28" t="s">
        <v>106</v>
      </c>
      <c r="E15" s="29" t="s">
        <v>106</v>
      </c>
      <c r="F15" s="29" t="s">
        <v>106</v>
      </c>
      <c r="G15" s="30"/>
      <c r="H15" s="30"/>
      <c r="I15" s="30"/>
      <c r="J15" s="30"/>
      <c r="K15" s="30" t="n">
        <f aca="false">COUNTIF(D15:J15,"x")</f>
        <v>3</v>
      </c>
    </row>
    <row r="16" customFormat="false" ht="17.25" hidden="false" customHeight="true" outlineLevel="0" collapsed="false">
      <c r="A16" s="9" t="s">
        <v>122</v>
      </c>
      <c r="B16" s="9" t="s">
        <v>115</v>
      </c>
      <c r="C16" s="17" t="s">
        <v>123</v>
      </c>
      <c r="D16" s="28" t="s">
        <v>106</v>
      </c>
      <c r="E16" s="30"/>
      <c r="F16" s="30"/>
      <c r="G16" s="30"/>
      <c r="H16" s="30"/>
      <c r="I16" s="30"/>
      <c r="J16" s="30"/>
      <c r="K16" s="30" t="n">
        <f aca="false">COUNTIF(D16:J16,"x")</f>
        <v>1</v>
      </c>
    </row>
    <row r="17" customFormat="false" ht="15" hidden="false" customHeight="false" outlineLevel="0" collapsed="false">
      <c r="A17" s="26"/>
      <c r="B17" s="27" t="s">
        <v>124</v>
      </c>
      <c r="C17" s="26"/>
      <c r="D17" s="26"/>
      <c r="E17" s="26"/>
      <c r="F17" s="26"/>
      <c r="G17" s="26"/>
      <c r="H17" s="26"/>
      <c r="I17" s="26"/>
      <c r="J17" s="26"/>
      <c r="K17" s="26"/>
    </row>
    <row r="18" customFormat="false" ht="17.25" hidden="false" customHeight="true" outlineLevel="0" collapsed="false">
      <c r="A18" s="9" t="s">
        <v>125</v>
      </c>
      <c r="B18" s="9" t="s">
        <v>124</v>
      </c>
      <c r="C18" s="17" t="s">
        <v>126</v>
      </c>
      <c r="D18" s="28" t="s">
        <v>106</v>
      </c>
      <c r="E18" s="30"/>
      <c r="F18" s="30"/>
      <c r="G18" s="29" t="s">
        <v>106</v>
      </c>
      <c r="H18" s="30"/>
      <c r="I18" s="30"/>
      <c r="J18" s="30"/>
      <c r="K18" s="30" t="n">
        <f aca="false">COUNTIF(D18:J18,"x")</f>
        <v>2</v>
      </c>
    </row>
    <row r="19" customFormat="false" ht="17.25" hidden="false" customHeight="true" outlineLevel="0" collapsed="false">
      <c r="A19" s="9" t="s">
        <v>127</v>
      </c>
      <c r="B19" s="9" t="s">
        <v>124</v>
      </c>
      <c r="C19" s="17" t="s">
        <v>128</v>
      </c>
      <c r="D19" s="31"/>
      <c r="E19" s="30"/>
      <c r="F19" s="30"/>
      <c r="G19" s="29" t="s">
        <v>106</v>
      </c>
      <c r="H19" s="30"/>
      <c r="I19" s="30"/>
      <c r="J19" s="30"/>
      <c r="K19" s="30" t="n">
        <f aca="false">COUNTIF(D19:J19,"x")</f>
        <v>1</v>
      </c>
    </row>
    <row r="20" customFormat="false" ht="17.25" hidden="false" customHeight="true" outlineLevel="0" collapsed="false">
      <c r="A20" s="9" t="s">
        <v>129</v>
      </c>
      <c r="B20" s="9" t="s">
        <v>124</v>
      </c>
      <c r="C20" s="17" t="s">
        <v>130</v>
      </c>
      <c r="D20" s="28" t="s">
        <v>106</v>
      </c>
      <c r="E20" s="30"/>
      <c r="F20" s="30"/>
      <c r="G20" s="29" t="s">
        <v>106</v>
      </c>
      <c r="H20" s="30"/>
      <c r="I20" s="30"/>
      <c r="J20" s="30"/>
      <c r="K20" s="30" t="n">
        <f aca="false">COUNTIF(D20:J20,"x")</f>
        <v>2</v>
      </c>
    </row>
    <row r="21" customFormat="false" ht="17.25" hidden="false" customHeight="true" outlineLevel="0" collapsed="false">
      <c r="A21" s="9" t="s">
        <v>131</v>
      </c>
      <c r="B21" s="9" t="s">
        <v>124</v>
      </c>
      <c r="C21" s="17" t="s">
        <v>132</v>
      </c>
      <c r="D21" s="28" t="s">
        <v>106</v>
      </c>
      <c r="E21" s="30"/>
      <c r="F21" s="30"/>
      <c r="G21" s="30"/>
      <c r="H21" s="29" t="s">
        <v>106</v>
      </c>
      <c r="I21" s="30"/>
      <c r="J21" s="30"/>
      <c r="K21" s="30" t="n">
        <f aca="false">COUNTIF(D21:J21,"x")</f>
        <v>2</v>
      </c>
    </row>
    <row r="22" customFormat="false" ht="15" hidden="false" customHeight="false" outlineLevel="0" collapsed="false">
      <c r="A22" s="26"/>
      <c r="B22" s="27" t="s">
        <v>133</v>
      </c>
      <c r="C22" s="26"/>
      <c r="D22" s="26"/>
      <c r="E22" s="26"/>
      <c r="F22" s="26"/>
      <c r="G22" s="26"/>
      <c r="H22" s="26"/>
      <c r="I22" s="26"/>
      <c r="J22" s="26"/>
      <c r="K22" s="26"/>
    </row>
    <row r="23" customFormat="false" ht="17.25" hidden="false" customHeight="true" outlineLevel="0" collapsed="false">
      <c r="A23" s="9" t="s">
        <v>134</v>
      </c>
      <c r="B23" s="9" t="s">
        <v>133</v>
      </c>
      <c r="C23" s="17" t="s">
        <v>135</v>
      </c>
      <c r="D23" s="28" t="s">
        <v>106</v>
      </c>
      <c r="E23" s="30"/>
      <c r="F23" s="30"/>
      <c r="G23" s="29" t="s">
        <v>106</v>
      </c>
      <c r="H23" s="29" t="s">
        <v>106</v>
      </c>
      <c r="I23" s="30"/>
      <c r="J23" s="30"/>
      <c r="K23" s="30" t="n">
        <f aca="false">COUNTIF(D23:J23,"x")</f>
        <v>3</v>
      </c>
    </row>
    <row r="24" customFormat="false" ht="31.5" hidden="false" customHeight="true" outlineLevel="0" collapsed="false">
      <c r="A24" s="9" t="s">
        <v>136</v>
      </c>
      <c r="B24" s="9" t="s">
        <v>133</v>
      </c>
      <c r="C24" s="17" t="s">
        <v>137</v>
      </c>
      <c r="D24" s="28" t="s">
        <v>106</v>
      </c>
      <c r="E24" s="30"/>
      <c r="F24" s="30"/>
      <c r="G24" s="30"/>
      <c r="H24" s="30"/>
      <c r="I24" s="30"/>
      <c r="J24" s="30"/>
      <c r="K24" s="30" t="n">
        <f aca="false">COUNTIF(D24:J24,"x")</f>
        <v>1</v>
      </c>
    </row>
    <row r="25" customFormat="false" ht="17.25" hidden="false" customHeight="true" outlineLevel="0" collapsed="false">
      <c r="A25" s="9" t="s">
        <v>138</v>
      </c>
      <c r="B25" s="9" t="s">
        <v>133</v>
      </c>
      <c r="C25" s="17" t="s">
        <v>139</v>
      </c>
      <c r="D25" s="28" t="s">
        <v>106</v>
      </c>
      <c r="E25" s="30"/>
      <c r="F25" s="30"/>
      <c r="G25" s="29" t="s">
        <v>106</v>
      </c>
      <c r="H25" s="29" t="s">
        <v>106</v>
      </c>
      <c r="I25" s="30"/>
      <c r="J25" s="30"/>
      <c r="K25" s="30" t="n">
        <f aca="false">COUNTIF(D25:J25,"x")</f>
        <v>3</v>
      </c>
    </row>
    <row r="26" customFormat="false" ht="17.25" hidden="false" customHeight="true" outlineLevel="0" collapsed="false">
      <c r="A26" s="9" t="s">
        <v>140</v>
      </c>
      <c r="B26" s="9" t="s">
        <v>133</v>
      </c>
      <c r="C26" s="17" t="s">
        <v>141</v>
      </c>
      <c r="D26" s="31"/>
      <c r="E26" s="30"/>
      <c r="F26" s="30"/>
      <c r="G26" s="29" t="s">
        <v>106</v>
      </c>
      <c r="H26" s="29" t="s">
        <v>106</v>
      </c>
      <c r="I26" s="30"/>
      <c r="J26" s="30"/>
      <c r="K26" s="30" t="n">
        <f aca="false">COUNTIF(D26:J26,"x")</f>
        <v>2</v>
      </c>
    </row>
    <row r="27" customFormat="false" ht="15" hidden="false" customHeight="false" outlineLevel="0" collapsed="false">
      <c r="A27" s="26"/>
      <c r="B27" s="27" t="s">
        <v>142</v>
      </c>
      <c r="C27" s="26"/>
      <c r="D27" s="26"/>
      <c r="E27" s="26"/>
      <c r="F27" s="26"/>
      <c r="G27" s="26"/>
      <c r="H27" s="26"/>
      <c r="I27" s="26"/>
      <c r="J27" s="26"/>
      <c r="K27" s="26"/>
    </row>
    <row r="28" customFormat="false" ht="17.25" hidden="false" customHeight="true" outlineLevel="0" collapsed="false">
      <c r="A28" s="9" t="s">
        <v>143</v>
      </c>
      <c r="B28" s="9" t="s">
        <v>142</v>
      </c>
      <c r="C28" s="17" t="s">
        <v>144</v>
      </c>
      <c r="D28" s="28" t="s">
        <v>106</v>
      </c>
      <c r="E28" s="30"/>
      <c r="F28" s="30"/>
      <c r="G28" s="29" t="s">
        <v>106</v>
      </c>
      <c r="H28" s="30"/>
      <c r="I28" s="30"/>
      <c r="J28" s="30"/>
      <c r="K28" s="30" t="n">
        <f aca="false">COUNTIF(D28:J28,"x")</f>
        <v>2</v>
      </c>
    </row>
    <row r="29" customFormat="false" ht="17.25" hidden="false" customHeight="true" outlineLevel="0" collapsed="false">
      <c r="A29" s="9" t="s">
        <v>145</v>
      </c>
      <c r="B29" s="9" t="s">
        <v>142</v>
      </c>
      <c r="C29" s="17" t="s">
        <v>146</v>
      </c>
      <c r="D29" s="28" t="s">
        <v>106</v>
      </c>
      <c r="E29" s="30"/>
      <c r="F29" s="30"/>
      <c r="G29" s="29" t="s">
        <v>106</v>
      </c>
      <c r="H29" s="29" t="s">
        <v>106</v>
      </c>
      <c r="I29" s="29" t="s">
        <v>106</v>
      </c>
      <c r="J29" s="30"/>
      <c r="K29" s="30" t="n">
        <f aca="false">COUNTIF(D29:J29,"x")</f>
        <v>4</v>
      </c>
    </row>
    <row r="30" customFormat="false" ht="17.25" hidden="false" customHeight="true" outlineLevel="0" collapsed="false">
      <c r="A30" s="9" t="s">
        <v>147</v>
      </c>
      <c r="B30" s="9" t="s">
        <v>142</v>
      </c>
      <c r="C30" s="17" t="s">
        <v>148</v>
      </c>
      <c r="D30" s="31"/>
      <c r="E30" s="30"/>
      <c r="F30" s="30"/>
      <c r="G30" s="30"/>
      <c r="H30" s="30"/>
      <c r="I30" s="29" t="s">
        <v>106</v>
      </c>
      <c r="J30" s="30"/>
      <c r="K30" s="30" t="n">
        <f aca="false">COUNTIF(D30:J30,"x")</f>
        <v>1</v>
      </c>
    </row>
    <row r="31" customFormat="false" ht="17.25" hidden="false" customHeight="true" outlineLevel="0" collapsed="false">
      <c r="A31" s="9" t="s">
        <v>149</v>
      </c>
      <c r="B31" s="9" t="s">
        <v>142</v>
      </c>
      <c r="C31" s="17" t="s">
        <v>150</v>
      </c>
      <c r="D31" s="28" t="s">
        <v>106</v>
      </c>
      <c r="E31" s="30"/>
      <c r="F31" s="30"/>
      <c r="G31" s="30"/>
      <c r="H31" s="30"/>
      <c r="I31" s="29" t="s">
        <v>106</v>
      </c>
      <c r="J31" s="30"/>
      <c r="K31" s="30" t="n">
        <f aca="false">COUNTIF(D31:J31,"x")</f>
        <v>2</v>
      </c>
    </row>
    <row r="32" customFormat="false" ht="17.25" hidden="false" customHeight="true" outlineLevel="0" collapsed="false">
      <c r="A32" s="9" t="s">
        <v>151</v>
      </c>
      <c r="B32" s="9" t="s">
        <v>142</v>
      </c>
      <c r="C32" s="17" t="s">
        <v>152</v>
      </c>
      <c r="D32" s="31"/>
      <c r="E32" s="30"/>
      <c r="F32" s="30"/>
      <c r="G32" s="29" t="s">
        <v>106</v>
      </c>
      <c r="H32" s="30"/>
      <c r="I32" s="29" t="s">
        <v>106</v>
      </c>
      <c r="J32" s="30"/>
      <c r="K32" s="30" t="n">
        <f aca="false">COUNTIF(D32:J32,"x")</f>
        <v>2</v>
      </c>
    </row>
    <row r="33" customFormat="false" ht="17.25" hidden="false" customHeight="true" outlineLevel="0" collapsed="false">
      <c r="A33" s="9" t="s">
        <v>153</v>
      </c>
      <c r="B33" s="9" t="s">
        <v>142</v>
      </c>
      <c r="C33" s="17" t="s">
        <v>154</v>
      </c>
      <c r="D33" s="31"/>
      <c r="E33" s="30"/>
      <c r="F33" s="30"/>
      <c r="G33" s="30"/>
      <c r="H33" s="30"/>
      <c r="I33" s="29" t="s">
        <v>106</v>
      </c>
      <c r="J33" s="30"/>
      <c r="K33" s="30" t="n">
        <f aca="false">COUNTIF(D33:J33,"x")</f>
        <v>1</v>
      </c>
    </row>
    <row r="34" customFormat="false" ht="15" hidden="false" customHeight="false" outlineLevel="0" collapsed="false">
      <c r="A34" s="26"/>
      <c r="B34" s="27" t="s">
        <v>155</v>
      </c>
      <c r="C34" s="26"/>
      <c r="D34" s="26"/>
      <c r="E34" s="26"/>
      <c r="F34" s="26"/>
      <c r="G34" s="26"/>
      <c r="H34" s="26"/>
      <c r="I34" s="26"/>
      <c r="J34" s="26"/>
      <c r="K34" s="26"/>
    </row>
    <row r="35" customFormat="false" ht="17.25" hidden="false" customHeight="true" outlineLevel="0" collapsed="false">
      <c r="A35" s="9" t="s">
        <v>156</v>
      </c>
      <c r="B35" s="9" t="s">
        <v>155</v>
      </c>
      <c r="C35" s="17" t="s">
        <v>157</v>
      </c>
      <c r="D35" s="28" t="s">
        <v>106</v>
      </c>
      <c r="E35" s="29" t="s">
        <v>106</v>
      </c>
      <c r="F35" s="29" t="s">
        <v>106</v>
      </c>
      <c r="G35" s="30"/>
      <c r="H35" s="30"/>
      <c r="I35" s="30"/>
      <c r="J35" s="30"/>
      <c r="K35" s="30" t="n">
        <f aca="false">COUNTIF(D35:J35,"x")</f>
        <v>3</v>
      </c>
    </row>
    <row r="36" customFormat="false" ht="17.25" hidden="false" customHeight="true" outlineLevel="0" collapsed="false">
      <c r="A36" s="9" t="s">
        <v>158</v>
      </c>
      <c r="B36" s="9" t="s">
        <v>155</v>
      </c>
      <c r="C36" s="17" t="s">
        <v>159</v>
      </c>
      <c r="D36" s="28" t="s">
        <v>106</v>
      </c>
      <c r="E36" s="30"/>
      <c r="F36" s="29" t="s">
        <v>106</v>
      </c>
      <c r="G36" s="30"/>
      <c r="H36" s="29" t="s">
        <v>106</v>
      </c>
      <c r="I36" s="30"/>
      <c r="J36" s="30"/>
      <c r="K36" s="30" t="n">
        <f aca="false">COUNTIF(D36:J36,"x")</f>
        <v>3</v>
      </c>
    </row>
    <row r="37" customFormat="false" ht="17.25" hidden="false" customHeight="true" outlineLevel="0" collapsed="false">
      <c r="A37" s="9" t="s">
        <v>160</v>
      </c>
      <c r="B37" s="9" t="s">
        <v>155</v>
      </c>
      <c r="C37" s="17" t="s">
        <v>161</v>
      </c>
      <c r="D37" s="28" t="s">
        <v>106</v>
      </c>
      <c r="E37" s="30"/>
      <c r="F37" s="30"/>
      <c r="G37" s="29" t="s">
        <v>106</v>
      </c>
      <c r="H37" s="29" t="s">
        <v>106</v>
      </c>
      <c r="I37" s="29" t="s">
        <v>106</v>
      </c>
      <c r="J37" s="30"/>
      <c r="K37" s="30" t="n">
        <f aca="false">COUNTIF(D37:J37,"x")</f>
        <v>4</v>
      </c>
    </row>
    <row r="38" customFormat="false" ht="17.25" hidden="false" customHeight="true" outlineLevel="0" collapsed="false">
      <c r="A38" s="9" t="s">
        <v>162</v>
      </c>
      <c r="B38" s="9" t="s">
        <v>155</v>
      </c>
      <c r="C38" s="17" t="s">
        <v>163</v>
      </c>
      <c r="D38" s="31"/>
      <c r="E38" s="30"/>
      <c r="F38" s="30"/>
      <c r="G38" s="30"/>
      <c r="H38" s="29" t="s">
        <v>106</v>
      </c>
      <c r="I38" s="30"/>
      <c r="J38" s="30"/>
      <c r="K38" s="30" t="n">
        <f aca="false">COUNTIF(D38:J38,"x")</f>
        <v>1</v>
      </c>
    </row>
    <row r="39" customFormat="false" ht="17.25" hidden="false" customHeight="true" outlineLevel="0" collapsed="false">
      <c r="A39" s="9" t="s">
        <v>164</v>
      </c>
      <c r="B39" s="9" t="s">
        <v>155</v>
      </c>
      <c r="C39" s="17" t="s">
        <v>165</v>
      </c>
      <c r="D39" s="31"/>
      <c r="E39" s="30"/>
      <c r="F39" s="30"/>
      <c r="G39" s="30"/>
      <c r="H39" s="29" t="s">
        <v>106</v>
      </c>
      <c r="I39" s="29" t="s">
        <v>106</v>
      </c>
      <c r="J39" s="30"/>
      <c r="K39" s="30" t="n">
        <f aca="false">COUNTIF(D39:J39,"x")</f>
        <v>2</v>
      </c>
    </row>
    <row r="40" customFormat="false" ht="17.25" hidden="false" customHeight="true" outlineLevel="0" collapsed="false">
      <c r="A40" s="9" t="s">
        <v>166</v>
      </c>
      <c r="B40" s="9" t="s">
        <v>155</v>
      </c>
      <c r="C40" s="17" t="s">
        <v>167</v>
      </c>
      <c r="D40" s="28" t="s">
        <v>106</v>
      </c>
      <c r="E40" s="30"/>
      <c r="F40" s="29" t="s">
        <v>106</v>
      </c>
      <c r="G40" s="30"/>
      <c r="H40" s="30"/>
      <c r="I40" s="30"/>
      <c r="J40" s="30"/>
      <c r="K40" s="30" t="n">
        <f aca="false">COUNTIF(D40:J40,"x")</f>
        <v>2</v>
      </c>
    </row>
    <row r="41" customFormat="false" ht="15" hidden="false" customHeight="false" outlineLevel="0" collapsed="false">
      <c r="A41" s="26"/>
      <c r="B41" s="27" t="s">
        <v>168</v>
      </c>
      <c r="C41" s="26"/>
      <c r="D41" s="26"/>
      <c r="E41" s="26"/>
      <c r="F41" s="26"/>
      <c r="G41" s="26"/>
      <c r="H41" s="26"/>
      <c r="I41" s="26"/>
      <c r="J41" s="26"/>
      <c r="K41" s="26"/>
    </row>
    <row r="42" customFormat="false" ht="17.25" hidden="false" customHeight="true" outlineLevel="0" collapsed="false">
      <c r="A42" s="9" t="s">
        <v>169</v>
      </c>
      <c r="B42" s="9" t="s">
        <v>168</v>
      </c>
      <c r="C42" s="17" t="s">
        <v>170</v>
      </c>
      <c r="D42" s="28" t="s">
        <v>106</v>
      </c>
      <c r="E42" s="29" t="s">
        <v>106</v>
      </c>
      <c r="F42" s="29" t="s">
        <v>106</v>
      </c>
      <c r="G42" s="30"/>
      <c r="H42" s="30"/>
      <c r="I42" s="30"/>
      <c r="J42" s="30"/>
      <c r="K42" s="30" t="n">
        <f aca="false">COUNTIF(D42:J42,"x")</f>
        <v>3</v>
      </c>
    </row>
    <row r="43" customFormat="false" ht="17.25" hidden="false" customHeight="true" outlineLevel="0" collapsed="false">
      <c r="A43" s="9" t="s">
        <v>171</v>
      </c>
      <c r="B43" s="9" t="s">
        <v>168</v>
      </c>
      <c r="C43" s="17" t="s">
        <v>172</v>
      </c>
      <c r="D43" s="28" t="s">
        <v>106</v>
      </c>
      <c r="E43" s="30"/>
      <c r="F43" s="30"/>
      <c r="G43" s="29" t="s">
        <v>106</v>
      </c>
      <c r="H43" s="29" t="s">
        <v>106</v>
      </c>
      <c r="I43" s="29" t="s">
        <v>106</v>
      </c>
      <c r="J43" s="30"/>
      <c r="K43" s="30" t="n">
        <f aca="false">COUNTIF(D43:J43,"x")</f>
        <v>4</v>
      </c>
    </row>
    <row r="44" customFormat="false" ht="17.25" hidden="false" customHeight="true" outlineLevel="0" collapsed="false">
      <c r="A44" s="9" t="s">
        <v>173</v>
      </c>
      <c r="B44" s="9" t="s">
        <v>168</v>
      </c>
      <c r="C44" s="17" t="s">
        <v>174</v>
      </c>
      <c r="D44" s="28" t="s">
        <v>106</v>
      </c>
      <c r="E44" s="29" t="s">
        <v>106</v>
      </c>
      <c r="F44" s="29" t="s">
        <v>106</v>
      </c>
      <c r="G44" s="30"/>
      <c r="H44" s="30"/>
      <c r="I44" s="30"/>
      <c r="J44" s="30"/>
      <c r="K44" s="30" t="n">
        <f aca="false">COUNTIF(D44:J44,"x")</f>
        <v>3</v>
      </c>
    </row>
    <row r="45" customFormat="false" ht="15" hidden="false" customHeight="false" outlineLevel="0" collapsed="false">
      <c r="A45" s="26"/>
      <c r="B45" s="27" t="s">
        <v>175</v>
      </c>
      <c r="C45" s="26"/>
      <c r="D45" s="26"/>
      <c r="E45" s="26"/>
      <c r="F45" s="26"/>
      <c r="G45" s="26"/>
      <c r="H45" s="26"/>
      <c r="I45" s="26"/>
      <c r="J45" s="26"/>
      <c r="K45" s="26"/>
    </row>
    <row r="46" customFormat="false" ht="17.25" hidden="false" customHeight="true" outlineLevel="0" collapsed="false">
      <c r="A46" s="9" t="s">
        <v>176</v>
      </c>
      <c r="B46" s="9" t="s">
        <v>175</v>
      </c>
      <c r="C46" s="17" t="s">
        <v>177</v>
      </c>
      <c r="D46" s="28" t="s">
        <v>106</v>
      </c>
      <c r="E46" s="29" t="s">
        <v>106</v>
      </c>
      <c r="F46" s="29" t="s">
        <v>106</v>
      </c>
      <c r="G46" s="30"/>
      <c r="H46" s="30"/>
      <c r="I46" s="30"/>
      <c r="J46" s="30"/>
      <c r="K46" s="30" t="n">
        <f aca="false">COUNTIF(D46:J46,"x")</f>
        <v>3</v>
      </c>
    </row>
    <row r="47" customFormat="false" ht="17.25" hidden="false" customHeight="true" outlineLevel="0" collapsed="false">
      <c r="A47" s="9" t="s">
        <v>178</v>
      </c>
      <c r="B47" s="9" t="s">
        <v>175</v>
      </c>
      <c r="C47" s="17" t="s">
        <v>179</v>
      </c>
      <c r="D47" s="28" t="s">
        <v>106</v>
      </c>
      <c r="E47" s="30"/>
      <c r="F47" s="29" t="s">
        <v>106</v>
      </c>
      <c r="G47" s="30"/>
      <c r="H47" s="30"/>
      <c r="I47" s="29" t="s">
        <v>106</v>
      </c>
      <c r="J47" s="30"/>
      <c r="K47" s="30" t="n">
        <f aca="false">COUNTIF(D47:J47,"x")</f>
        <v>3</v>
      </c>
    </row>
    <row r="48" customFormat="false" ht="17.25" hidden="false" customHeight="true" outlineLevel="0" collapsed="false">
      <c r="A48" s="9" t="s">
        <v>180</v>
      </c>
      <c r="B48" s="9" t="s">
        <v>175</v>
      </c>
      <c r="C48" s="17" t="s">
        <v>181</v>
      </c>
      <c r="D48" s="28" t="s">
        <v>106</v>
      </c>
      <c r="E48" s="30"/>
      <c r="F48" s="30"/>
      <c r="G48" s="30"/>
      <c r="H48" s="30"/>
      <c r="I48" s="30"/>
      <c r="J48" s="30"/>
      <c r="K48" s="30" t="n">
        <f aca="false">COUNTIF(D48:J48,"x")</f>
        <v>1</v>
      </c>
    </row>
    <row r="49" customFormat="false" ht="17.25" hidden="false" customHeight="true" outlineLevel="0" collapsed="false">
      <c r="A49" s="9" t="s">
        <v>182</v>
      </c>
      <c r="B49" s="9" t="s">
        <v>175</v>
      </c>
      <c r="C49" s="17" t="s">
        <v>183</v>
      </c>
      <c r="D49" s="31"/>
      <c r="E49" s="30"/>
      <c r="F49" s="30"/>
      <c r="G49" s="29" t="s">
        <v>106</v>
      </c>
      <c r="H49" s="29" t="s">
        <v>106</v>
      </c>
      <c r="I49" s="29" t="s">
        <v>106</v>
      </c>
      <c r="J49" s="30"/>
      <c r="K49" s="30" t="n">
        <f aca="false">COUNTIF(D49:J49,"x")</f>
        <v>3</v>
      </c>
    </row>
    <row r="50" customFormat="false" ht="15" hidden="false" customHeight="false" outlineLevel="0" collapsed="false">
      <c r="C50" s="32" t="s">
        <v>184</v>
      </c>
      <c r="D50" s="33" t="n">
        <f aca="false">COUNTIF(D7:D49,"x")</f>
        <v>27</v>
      </c>
      <c r="E50" s="34" t="n">
        <f aca="false">COUNTIF(E7:E49,"x")</f>
        <v>10</v>
      </c>
      <c r="F50" s="34" t="n">
        <f aca="false">COUNTIF(F7:F49,"x")</f>
        <v>14</v>
      </c>
      <c r="G50" s="34" t="n">
        <f aca="false">COUNTIF(G7:G49,"x")</f>
        <v>12</v>
      </c>
      <c r="H50" s="34" t="n">
        <f aca="false">COUNTIF(H7:H49,"x")</f>
        <v>11</v>
      </c>
      <c r="I50" s="34" t="n">
        <f aca="false">COUNTIF(I7:I49,"x")</f>
        <v>10</v>
      </c>
      <c r="J50" s="34" t="n">
        <f aca="false">COUNTIF(J7:J49,"x")</f>
        <v>1</v>
      </c>
    </row>
    <row r="52" customFormat="false" ht="19.5" hidden="false" customHeight="true" outlineLevel="0" collapsed="false">
      <c r="A52" s="21" t="s">
        <v>185</v>
      </c>
    </row>
    <row r="53" customFormat="false" ht="15" hidden="false" customHeight="false" outlineLevel="0" collapsed="false">
      <c r="A53" s="26"/>
      <c r="B53" s="27" t="s">
        <v>103</v>
      </c>
      <c r="C53" s="26"/>
      <c r="D53" s="26"/>
      <c r="E53" s="26"/>
      <c r="F53" s="26"/>
      <c r="G53" s="26"/>
      <c r="H53" s="26"/>
      <c r="I53" s="26"/>
      <c r="J53" s="26"/>
      <c r="K53" s="26"/>
    </row>
    <row r="54" customFormat="false" ht="31.5" hidden="false" customHeight="true" outlineLevel="0" collapsed="false">
      <c r="A54" s="9" t="s">
        <v>186</v>
      </c>
      <c r="B54" s="9" t="s">
        <v>103</v>
      </c>
      <c r="C54" s="17" t="s">
        <v>187</v>
      </c>
      <c r="D54" s="28" t="str">
        <f aca="false">IF(D7="x","x","")</f>
        <v>x</v>
      </c>
      <c r="E54" s="29" t="str">
        <f aca="false">IF(E7="x","x","")</f>
        <v>x</v>
      </c>
      <c r="F54" s="29" t="str">
        <f aca="false">IF(F7="x","x","")</f>
        <v>x</v>
      </c>
      <c r="G54" s="29" t="str">
        <f aca="false">IF(G7="x","x","")</f>
        <v/>
      </c>
      <c r="H54" s="29" t="str">
        <f aca="false">IF(H7="x","x","")</f>
        <v/>
      </c>
      <c r="I54" s="29" t="str">
        <f aca="false">IF(I7="x","x","")</f>
        <v/>
      </c>
      <c r="J54" s="29" t="str">
        <f aca="false">IF(J7="x","x","")</f>
        <v/>
      </c>
      <c r="K54" s="10" t="n">
        <f aca="false">COUNTIF(D54:J54,"x")</f>
        <v>3</v>
      </c>
    </row>
    <row r="55" customFormat="false" ht="31.5" hidden="false" customHeight="true" outlineLevel="0" collapsed="false">
      <c r="A55" s="9" t="s">
        <v>188</v>
      </c>
      <c r="B55" s="9" t="s">
        <v>103</v>
      </c>
      <c r="C55" s="17" t="s">
        <v>189</v>
      </c>
      <c r="D55" s="28" t="str">
        <f aca="false">IF(D8="x","x","")</f>
        <v>x</v>
      </c>
      <c r="E55" s="29" t="str">
        <f aca="false">IF(E8="x","x","")</f>
        <v>x</v>
      </c>
      <c r="F55" s="29" t="str">
        <f aca="false">IF(F8="x","x","")</f>
        <v/>
      </c>
      <c r="G55" s="29" t="str">
        <f aca="false">IF(G8="x","x","")</f>
        <v/>
      </c>
      <c r="H55" s="29" t="str">
        <f aca="false">IF(H8="x","x","")</f>
        <v/>
      </c>
      <c r="I55" s="29" t="str">
        <f aca="false">IF(I8="x","x","")</f>
        <v/>
      </c>
      <c r="J55" s="29" t="str">
        <f aca="false">IF(J8="x","x","")</f>
        <v/>
      </c>
      <c r="K55" s="10" t="n">
        <f aca="false">COUNTIF(D55:J55,"x")</f>
        <v>2</v>
      </c>
    </row>
    <row r="56" customFormat="false" ht="31.5" hidden="false" customHeight="true" outlineLevel="0" collapsed="false">
      <c r="A56" s="9" t="s">
        <v>190</v>
      </c>
      <c r="B56" s="9" t="s">
        <v>103</v>
      </c>
      <c r="C56" s="17" t="s">
        <v>191</v>
      </c>
      <c r="D56" s="28" t="str">
        <f aca="false">IF(D9="x","x","")</f>
        <v>x</v>
      </c>
      <c r="E56" s="29" t="str">
        <f aca="false">IF(E9="x","x","")</f>
        <v/>
      </c>
      <c r="F56" s="29" t="str">
        <f aca="false">IF(F9="x","x","")</f>
        <v>x</v>
      </c>
      <c r="G56" s="29" t="str">
        <f aca="false">IF(G9="x","x","")</f>
        <v/>
      </c>
      <c r="H56" s="29" t="str">
        <f aca="false">IF(H9="x","x","")</f>
        <v/>
      </c>
      <c r="I56" s="29" t="str">
        <f aca="false">IF(I9="x","x","")</f>
        <v/>
      </c>
      <c r="J56" s="29" t="str">
        <f aca="false">IF(J9="x","x","")</f>
        <v>x</v>
      </c>
      <c r="K56" s="10" t="n">
        <f aca="false">COUNTIF(D56:J56,"x")</f>
        <v>3</v>
      </c>
    </row>
    <row r="57" customFormat="false" ht="31.5" hidden="false" customHeight="true" outlineLevel="0" collapsed="false">
      <c r="A57" s="9" t="s">
        <v>192</v>
      </c>
      <c r="B57" s="9" t="s">
        <v>103</v>
      </c>
      <c r="C57" s="17" t="s">
        <v>193</v>
      </c>
      <c r="D57" s="28" t="str">
        <f aca="false">IF(D10="x","x","")</f>
        <v>x</v>
      </c>
      <c r="E57" s="29" t="str">
        <f aca="false">IF(E10="x","x","")</f>
        <v/>
      </c>
      <c r="F57" s="29" t="str">
        <f aca="false">IF(F10="x","x","")</f>
        <v>x</v>
      </c>
      <c r="G57" s="29" t="str">
        <f aca="false">IF(G10="x","x","")</f>
        <v/>
      </c>
      <c r="H57" s="29" t="str">
        <f aca="false">IF(H10="x","x","")</f>
        <v/>
      </c>
      <c r="I57" s="29" t="str">
        <f aca="false">IF(I10="x","x","")</f>
        <v/>
      </c>
      <c r="J57" s="29" t="str">
        <f aca="false">IF(J10="x","x","")</f>
        <v/>
      </c>
      <c r="K57" s="10" t="n">
        <f aca="false">COUNTIF(D57:J57,"x")</f>
        <v>2</v>
      </c>
    </row>
    <row r="58" customFormat="false" ht="17.25" hidden="false" customHeight="true" outlineLevel="0" collapsed="false">
      <c r="A58" s="9" t="s">
        <v>194</v>
      </c>
      <c r="B58" s="9" t="s">
        <v>103</v>
      </c>
      <c r="C58" s="17" t="s">
        <v>195</v>
      </c>
      <c r="D58" s="28" t="str">
        <f aca="false">IF(D11="x","x","")</f>
        <v/>
      </c>
      <c r="E58" s="29" t="str">
        <f aca="false">IF(E11="x","x","")</f>
        <v>x</v>
      </c>
      <c r="F58" s="29" t="str">
        <f aca="false">IF(F11="x","x","")</f>
        <v>x</v>
      </c>
      <c r="G58" s="29" t="str">
        <f aca="false">IF(G11="x","x","")</f>
        <v/>
      </c>
      <c r="H58" s="29" t="str">
        <f aca="false">IF(H11="x","x","")</f>
        <v/>
      </c>
      <c r="I58" s="29" t="str">
        <f aca="false">IF(I11="x","x","")</f>
        <v/>
      </c>
      <c r="J58" s="29" t="str">
        <f aca="false">IF(J11="x","x","")</f>
        <v/>
      </c>
      <c r="K58" s="10" t="n">
        <f aca="false">COUNTIF(D58:J58,"x")</f>
        <v>2</v>
      </c>
    </row>
    <row r="59" customFormat="false" ht="15" hidden="false" customHeight="false" outlineLevel="0" collapsed="false">
      <c r="A59" s="26"/>
      <c r="B59" s="27" t="s">
        <v>115</v>
      </c>
      <c r="C59" s="26"/>
      <c r="D59" s="26"/>
      <c r="E59" s="26"/>
      <c r="F59" s="26"/>
      <c r="G59" s="26"/>
      <c r="H59" s="26"/>
      <c r="I59" s="26"/>
      <c r="J59" s="26"/>
      <c r="K59" s="26"/>
    </row>
    <row r="60" customFormat="false" ht="31.5" hidden="false" customHeight="true" outlineLevel="0" collapsed="false">
      <c r="A60" s="9" t="s">
        <v>196</v>
      </c>
      <c r="B60" s="9" t="s">
        <v>115</v>
      </c>
      <c r="C60" s="17" t="s">
        <v>197</v>
      </c>
      <c r="D60" s="28" t="str">
        <f aca="false">IF(D13="x","x","")</f>
        <v>x</v>
      </c>
      <c r="E60" s="29" t="str">
        <f aca="false">IF(E13="x","x","")</f>
        <v>x</v>
      </c>
      <c r="F60" s="29" t="str">
        <f aca="false">IF(F13="x","x","")</f>
        <v>x</v>
      </c>
      <c r="G60" s="29" t="str">
        <f aca="false">IF(G13="x","x","")</f>
        <v/>
      </c>
      <c r="H60" s="29" t="str">
        <f aca="false">IF(H13="x","x","")</f>
        <v/>
      </c>
      <c r="I60" s="29" t="str">
        <f aca="false">IF(I13="x","x","")</f>
        <v/>
      </c>
      <c r="J60" s="29" t="str">
        <f aca="false">IF(J13="x","x","")</f>
        <v/>
      </c>
      <c r="K60" s="10" t="n">
        <f aca="false">COUNTIF(D60:J60,"x")</f>
        <v>3</v>
      </c>
    </row>
    <row r="61" customFormat="false" ht="17.25" hidden="false" customHeight="true" outlineLevel="0" collapsed="false">
      <c r="A61" s="9" t="s">
        <v>198</v>
      </c>
      <c r="B61" s="9" t="s">
        <v>115</v>
      </c>
      <c r="C61" s="17" t="s">
        <v>199</v>
      </c>
      <c r="D61" s="28" t="str">
        <f aca="false">IF(D14="x","x","")</f>
        <v>x</v>
      </c>
      <c r="E61" s="29" t="str">
        <f aca="false">IF(E14="x","x","")</f>
        <v>x</v>
      </c>
      <c r="F61" s="29" t="str">
        <f aca="false">IF(F14="x","x","")</f>
        <v>x</v>
      </c>
      <c r="G61" s="29" t="str">
        <f aca="false">IF(G14="x","x","")</f>
        <v/>
      </c>
      <c r="H61" s="29" t="str">
        <f aca="false">IF(H14="x","x","")</f>
        <v/>
      </c>
      <c r="I61" s="29" t="str">
        <f aca="false">IF(I14="x","x","")</f>
        <v/>
      </c>
      <c r="J61" s="29" t="str">
        <f aca="false">IF(J14="x","x","")</f>
        <v/>
      </c>
      <c r="K61" s="10" t="n">
        <f aca="false">COUNTIF(D61:J61,"x")</f>
        <v>3</v>
      </c>
    </row>
    <row r="62" customFormat="false" ht="31.5" hidden="false" customHeight="true" outlineLevel="0" collapsed="false">
      <c r="A62" s="9" t="s">
        <v>200</v>
      </c>
      <c r="B62" s="9" t="s">
        <v>115</v>
      </c>
      <c r="C62" s="17" t="s">
        <v>201</v>
      </c>
      <c r="D62" s="28" t="str">
        <f aca="false">IF(D15="x","x","")</f>
        <v>x</v>
      </c>
      <c r="E62" s="29" t="str">
        <f aca="false">IF(E15="x","x","")</f>
        <v>x</v>
      </c>
      <c r="F62" s="29" t="str">
        <f aca="false">IF(F15="x","x","")</f>
        <v>x</v>
      </c>
      <c r="G62" s="29" t="str">
        <f aca="false">IF(G15="x","x","")</f>
        <v/>
      </c>
      <c r="H62" s="29" t="str">
        <f aca="false">IF(H15="x","x","")</f>
        <v/>
      </c>
      <c r="I62" s="29" t="str">
        <f aca="false">IF(I15="x","x","")</f>
        <v/>
      </c>
      <c r="J62" s="29" t="str">
        <f aca="false">IF(J15="x","x","")</f>
        <v/>
      </c>
      <c r="K62" s="10" t="n">
        <f aca="false">COUNTIF(D62:J62,"x")</f>
        <v>3</v>
      </c>
    </row>
    <row r="63" customFormat="false" ht="31.5" hidden="false" customHeight="true" outlineLevel="0" collapsed="false">
      <c r="A63" s="9" t="s">
        <v>202</v>
      </c>
      <c r="B63" s="9" t="s">
        <v>115</v>
      </c>
      <c r="C63" s="17" t="s">
        <v>203</v>
      </c>
      <c r="D63" s="28" t="str">
        <f aca="false">IF(D16="x","x","")</f>
        <v>x</v>
      </c>
      <c r="E63" s="29" t="str">
        <f aca="false">IF(E16="x","x","")</f>
        <v/>
      </c>
      <c r="F63" s="29" t="str">
        <f aca="false">IF(F16="x","x","")</f>
        <v/>
      </c>
      <c r="G63" s="29" t="str">
        <f aca="false">IF(G16="x","x","")</f>
        <v/>
      </c>
      <c r="H63" s="29" t="str">
        <f aca="false">IF(H16="x","x","")</f>
        <v/>
      </c>
      <c r="I63" s="29" t="str">
        <f aca="false">IF(I16="x","x","")</f>
        <v/>
      </c>
      <c r="J63" s="29" t="str">
        <f aca="false">IF(J16="x","x","")</f>
        <v/>
      </c>
      <c r="K63" s="10" t="n">
        <f aca="false">COUNTIF(D63:J63,"x")</f>
        <v>1</v>
      </c>
    </row>
    <row r="64" customFormat="false" ht="15" hidden="false" customHeight="false" outlineLevel="0" collapsed="false">
      <c r="A64" s="26"/>
      <c r="B64" s="27" t="s">
        <v>124</v>
      </c>
      <c r="C64" s="26"/>
      <c r="D64" s="26"/>
      <c r="E64" s="26"/>
      <c r="F64" s="26"/>
      <c r="G64" s="26"/>
      <c r="H64" s="26"/>
      <c r="I64" s="26"/>
      <c r="J64" s="26"/>
      <c r="K64" s="26"/>
    </row>
    <row r="65" customFormat="false" ht="17.25" hidden="false" customHeight="true" outlineLevel="0" collapsed="false">
      <c r="A65" s="9" t="s">
        <v>204</v>
      </c>
      <c r="B65" s="9" t="s">
        <v>124</v>
      </c>
      <c r="C65" s="17" t="s">
        <v>205</v>
      </c>
      <c r="D65" s="28" t="str">
        <f aca="false">IF(D18="x","x","")</f>
        <v>x</v>
      </c>
      <c r="E65" s="29" t="str">
        <f aca="false">IF(E18="x","x","")</f>
        <v/>
      </c>
      <c r="F65" s="29" t="str">
        <f aca="false">IF(F18="x","x","")</f>
        <v/>
      </c>
      <c r="G65" s="29" t="str">
        <f aca="false">IF(G18="x","x","")</f>
        <v>x</v>
      </c>
      <c r="H65" s="29" t="str">
        <f aca="false">IF(H18="x","x","")</f>
        <v/>
      </c>
      <c r="I65" s="29" t="str">
        <f aca="false">IF(I18="x","x","")</f>
        <v/>
      </c>
      <c r="J65" s="29" t="str">
        <f aca="false">IF(J18="x","x","")</f>
        <v/>
      </c>
      <c r="K65" s="10" t="n">
        <f aca="false">COUNTIF(D65:J65,"x")</f>
        <v>2</v>
      </c>
    </row>
    <row r="66" customFormat="false" ht="17.25" hidden="false" customHeight="true" outlineLevel="0" collapsed="false">
      <c r="A66" s="9" t="s">
        <v>206</v>
      </c>
      <c r="B66" s="9" t="s">
        <v>124</v>
      </c>
      <c r="C66" s="17" t="s">
        <v>207</v>
      </c>
      <c r="D66" s="28" t="str">
        <f aca="false">IF(D19="x","x","")</f>
        <v/>
      </c>
      <c r="E66" s="29" t="str">
        <f aca="false">IF(E19="x","x","")</f>
        <v/>
      </c>
      <c r="F66" s="29" t="str">
        <f aca="false">IF(F19="x","x","")</f>
        <v/>
      </c>
      <c r="G66" s="29" t="str">
        <f aca="false">IF(G19="x","x","")</f>
        <v>x</v>
      </c>
      <c r="H66" s="29" t="str">
        <f aca="false">IF(H19="x","x","")</f>
        <v/>
      </c>
      <c r="I66" s="29" t="str">
        <f aca="false">IF(I19="x","x","")</f>
        <v/>
      </c>
      <c r="J66" s="29" t="str">
        <f aca="false">IF(J19="x","x","")</f>
        <v/>
      </c>
      <c r="K66" s="10" t="n">
        <f aca="false">COUNTIF(D66:J66,"x")</f>
        <v>1</v>
      </c>
    </row>
    <row r="67" customFormat="false" ht="31.5" hidden="false" customHeight="true" outlineLevel="0" collapsed="false">
      <c r="A67" s="9" t="s">
        <v>208</v>
      </c>
      <c r="B67" s="9" t="s">
        <v>124</v>
      </c>
      <c r="C67" s="17" t="s">
        <v>209</v>
      </c>
      <c r="D67" s="28" t="str">
        <f aca="false">IF(D20="x","x","")</f>
        <v>x</v>
      </c>
      <c r="E67" s="29" t="str">
        <f aca="false">IF(E20="x","x","")</f>
        <v/>
      </c>
      <c r="F67" s="29" t="str">
        <f aca="false">IF(F20="x","x","")</f>
        <v/>
      </c>
      <c r="G67" s="29" t="str">
        <f aca="false">IF(G20="x","x","")</f>
        <v>x</v>
      </c>
      <c r="H67" s="29" t="str">
        <f aca="false">IF(H20="x","x","")</f>
        <v/>
      </c>
      <c r="I67" s="29" t="str">
        <f aca="false">IF(I20="x","x","")</f>
        <v/>
      </c>
      <c r="J67" s="29" t="str">
        <f aca="false">IF(J20="x","x","")</f>
        <v/>
      </c>
      <c r="K67" s="10" t="n">
        <f aca="false">COUNTIF(D67:J67,"x")</f>
        <v>2</v>
      </c>
    </row>
    <row r="68" customFormat="false" ht="17.25" hidden="false" customHeight="true" outlineLevel="0" collapsed="false">
      <c r="A68" s="9" t="s">
        <v>210</v>
      </c>
      <c r="B68" s="9" t="s">
        <v>124</v>
      </c>
      <c r="C68" s="17" t="s">
        <v>211</v>
      </c>
      <c r="D68" s="28" t="str">
        <f aca="false">IF(D21="x","x","")</f>
        <v>x</v>
      </c>
      <c r="E68" s="29" t="str">
        <f aca="false">IF(E21="x","x","")</f>
        <v/>
      </c>
      <c r="F68" s="29" t="str">
        <f aca="false">IF(F21="x","x","")</f>
        <v/>
      </c>
      <c r="G68" s="29" t="str">
        <f aca="false">IF(G21="x","x","")</f>
        <v/>
      </c>
      <c r="H68" s="29" t="str">
        <f aca="false">IF(H21="x","x","")</f>
        <v>x</v>
      </c>
      <c r="I68" s="29" t="str">
        <f aca="false">IF(I21="x","x","")</f>
        <v/>
      </c>
      <c r="J68" s="29" t="str">
        <f aca="false">IF(J21="x","x","")</f>
        <v/>
      </c>
      <c r="K68" s="10" t="n">
        <f aca="false">COUNTIF(D68:J68,"x")</f>
        <v>2</v>
      </c>
    </row>
    <row r="69" customFormat="false" ht="15" hidden="false" customHeight="false" outlineLevel="0" collapsed="false">
      <c r="A69" s="26"/>
      <c r="B69" s="27" t="s">
        <v>133</v>
      </c>
      <c r="C69" s="26"/>
      <c r="D69" s="26"/>
      <c r="E69" s="26"/>
      <c r="F69" s="26"/>
      <c r="G69" s="26"/>
      <c r="H69" s="26"/>
      <c r="I69" s="26"/>
      <c r="J69" s="26"/>
      <c r="K69" s="26"/>
    </row>
    <row r="70" customFormat="false" ht="31.5" hidden="false" customHeight="true" outlineLevel="0" collapsed="false">
      <c r="A70" s="9" t="s">
        <v>212</v>
      </c>
      <c r="B70" s="9" t="s">
        <v>133</v>
      </c>
      <c r="C70" s="17" t="s">
        <v>213</v>
      </c>
      <c r="D70" s="28" t="str">
        <f aca="false">IF(D23="x","x","")</f>
        <v>x</v>
      </c>
      <c r="E70" s="29" t="str">
        <f aca="false">IF(E23="x","x","")</f>
        <v/>
      </c>
      <c r="F70" s="29" t="str">
        <f aca="false">IF(F23="x","x","")</f>
        <v/>
      </c>
      <c r="G70" s="29" t="str">
        <f aca="false">IF(G23="x","x","")</f>
        <v>x</v>
      </c>
      <c r="H70" s="29" t="str">
        <f aca="false">IF(H23="x","x","")</f>
        <v>x</v>
      </c>
      <c r="I70" s="29" t="str">
        <f aca="false">IF(I23="x","x","")</f>
        <v/>
      </c>
      <c r="J70" s="29" t="str">
        <f aca="false">IF(J23="x","x","")</f>
        <v/>
      </c>
      <c r="K70" s="10" t="n">
        <f aca="false">COUNTIF(D70:J70,"x")</f>
        <v>3</v>
      </c>
    </row>
    <row r="71" customFormat="false" ht="31.5" hidden="false" customHeight="true" outlineLevel="0" collapsed="false">
      <c r="A71" s="9" t="s">
        <v>214</v>
      </c>
      <c r="B71" s="9" t="s">
        <v>133</v>
      </c>
      <c r="C71" s="17" t="s">
        <v>215</v>
      </c>
      <c r="D71" s="28" t="str">
        <f aca="false">IF(D24="x","x","")</f>
        <v>x</v>
      </c>
      <c r="E71" s="29" t="str">
        <f aca="false">IF(E24="x","x","")</f>
        <v/>
      </c>
      <c r="F71" s="29" t="str">
        <f aca="false">IF(F24="x","x","")</f>
        <v/>
      </c>
      <c r="G71" s="29" t="str">
        <f aca="false">IF(G24="x","x","")</f>
        <v/>
      </c>
      <c r="H71" s="29" t="str">
        <f aca="false">IF(H24="x","x","")</f>
        <v/>
      </c>
      <c r="I71" s="29" t="str">
        <f aca="false">IF(I24="x","x","")</f>
        <v/>
      </c>
      <c r="J71" s="29" t="str">
        <f aca="false">IF(J24="x","x","")</f>
        <v/>
      </c>
      <c r="K71" s="10" t="n">
        <f aca="false">COUNTIF(D71:J71,"x")</f>
        <v>1</v>
      </c>
    </row>
    <row r="72" customFormat="false" ht="17.25" hidden="false" customHeight="true" outlineLevel="0" collapsed="false">
      <c r="A72" s="9" t="s">
        <v>216</v>
      </c>
      <c r="B72" s="9" t="s">
        <v>133</v>
      </c>
      <c r="C72" s="17" t="s">
        <v>217</v>
      </c>
      <c r="D72" s="28" t="str">
        <f aca="false">IF(D25="x","x","")</f>
        <v>x</v>
      </c>
      <c r="E72" s="29" t="str">
        <f aca="false">IF(E25="x","x","")</f>
        <v/>
      </c>
      <c r="F72" s="29" t="str">
        <f aca="false">IF(F25="x","x","")</f>
        <v/>
      </c>
      <c r="G72" s="29" t="str">
        <f aca="false">IF(G25="x","x","")</f>
        <v>x</v>
      </c>
      <c r="H72" s="29" t="str">
        <f aca="false">IF(H25="x","x","")</f>
        <v>x</v>
      </c>
      <c r="I72" s="29" t="str">
        <f aca="false">IF(I25="x","x","")</f>
        <v/>
      </c>
      <c r="J72" s="29" t="str">
        <f aca="false">IF(J25="x","x","")</f>
        <v/>
      </c>
      <c r="K72" s="10" t="n">
        <f aca="false">COUNTIF(D72:J72,"x")</f>
        <v>3</v>
      </c>
    </row>
    <row r="73" customFormat="false" ht="17.25" hidden="false" customHeight="true" outlineLevel="0" collapsed="false">
      <c r="A73" s="9" t="s">
        <v>218</v>
      </c>
      <c r="B73" s="9" t="s">
        <v>133</v>
      </c>
      <c r="C73" s="17" t="s">
        <v>219</v>
      </c>
      <c r="D73" s="28" t="str">
        <f aca="false">IF(D26="x","x","")</f>
        <v/>
      </c>
      <c r="E73" s="29" t="str">
        <f aca="false">IF(E26="x","x","")</f>
        <v/>
      </c>
      <c r="F73" s="29" t="str">
        <f aca="false">IF(F26="x","x","")</f>
        <v/>
      </c>
      <c r="G73" s="29" t="str">
        <f aca="false">IF(G26="x","x","")</f>
        <v>x</v>
      </c>
      <c r="H73" s="29" t="str">
        <f aca="false">IF(H26="x","x","")</f>
        <v>x</v>
      </c>
      <c r="I73" s="29" t="str">
        <f aca="false">IF(I26="x","x","")</f>
        <v/>
      </c>
      <c r="J73" s="29" t="str">
        <f aca="false">IF(J26="x","x","")</f>
        <v/>
      </c>
      <c r="K73" s="10" t="n">
        <f aca="false">COUNTIF(D73:J73,"x")</f>
        <v>2</v>
      </c>
    </row>
    <row r="74" customFormat="false" ht="15" hidden="false" customHeight="false" outlineLevel="0" collapsed="false">
      <c r="A74" s="26"/>
      <c r="B74" s="27" t="s">
        <v>142</v>
      </c>
      <c r="C74" s="26"/>
      <c r="D74" s="26"/>
      <c r="E74" s="26"/>
      <c r="F74" s="26"/>
      <c r="G74" s="26"/>
      <c r="H74" s="26"/>
      <c r="I74" s="26"/>
      <c r="J74" s="26"/>
      <c r="K74" s="26"/>
    </row>
    <row r="75" customFormat="false" ht="17.25" hidden="false" customHeight="true" outlineLevel="0" collapsed="false">
      <c r="A75" s="9" t="s">
        <v>220</v>
      </c>
      <c r="B75" s="9" t="s">
        <v>142</v>
      </c>
      <c r="C75" s="17" t="s">
        <v>221</v>
      </c>
      <c r="D75" s="28" t="str">
        <f aca="false">IF(D28="x","x","")</f>
        <v>x</v>
      </c>
      <c r="E75" s="29" t="str">
        <f aca="false">IF(E28="x","x","")</f>
        <v/>
      </c>
      <c r="F75" s="29" t="str">
        <f aca="false">IF(F28="x","x","")</f>
        <v/>
      </c>
      <c r="G75" s="29" t="str">
        <f aca="false">IF(G28="x","x","")</f>
        <v>x</v>
      </c>
      <c r="H75" s="29" t="str">
        <f aca="false">IF(H28="x","x","")</f>
        <v/>
      </c>
      <c r="I75" s="29" t="str">
        <f aca="false">IF(I28="x","x","")</f>
        <v/>
      </c>
      <c r="J75" s="29" t="str">
        <f aca="false">IF(J28="x","x","")</f>
        <v/>
      </c>
      <c r="K75" s="10" t="n">
        <f aca="false">COUNTIF(D75:J75,"x")</f>
        <v>2</v>
      </c>
    </row>
    <row r="76" customFormat="false" ht="17.25" hidden="false" customHeight="true" outlineLevel="0" collapsed="false">
      <c r="A76" s="9" t="s">
        <v>222</v>
      </c>
      <c r="B76" s="9" t="s">
        <v>142</v>
      </c>
      <c r="C76" s="17" t="s">
        <v>223</v>
      </c>
      <c r="D76" s="28" t="str">
        <f aca="false">IF(D29="x","x","")</f>
        <v>x</v>
      </c>
      <c r="E76" s="29" t="str">
        <f aca="false">IF(E29="x","x","")</f>
        <v/>
      </c>
      <c r="F76" s="29" t="str">
        <f aca="false">IF(F29="x","x","")</f>
        <v/>
      </c>
      <c r="G76" s="29" t="str">
        <f aca="false">IF(G29="x","x","")</f>
        <v>x</v>
      </c>
      <c r="H76" s="29" t="str">
        <f aca="false">IF(H29="x","x","")</f>
        <v>x</v>
      </c>
      <c r="I76" s="29" t="str">
        <f aca="false">IF(I29="x","x","")</f>
        <v>x</v>
      </c>
      <c r="J76" s="29" t="str">
        <f aca="false">IF(J29="x","x","")</f>
        <v/>
      </c>
      <c r="K76" s="10" t="n">
        <f aca="false">COUNTIF(D76:J76,"x")</f>
        <v>4</v>
      </c>
    </row>
    <row r="77" customFormat="false" ht="31.5" hidden="false" customHeight="true" outlineLevel="0" collapsed="false">
      <c r="A77" s="9" t="s">
        <v>224</v>
      </c>
      <c r="B77" s="9" t="s">
        <v>142</v>
      </c>
      <c r="C77" s="17" t="s">
        <v>225</v>
      </c>
      <c r="D77" s="28" t="str">
        <f aca="false">IF(D30="x","x","")</f>
        <v/>
      </c>
      <c r="E77" s="29" t="str">
        <f aca="false">IF(E30="x","x","")</f>
        <v/>
      </c>
      <c r="F77" s="29" t="str">
        <f aca="false">IF(F30="x","x","")</f>
        <v/>
      </c>
      <c r="G77" s="29" t="str">
        <f aca="false">IF(G30="x","x","")</f>
        <v/>
      </c>
      <c r="H77" s="29" t="str">
        <f aca="false">IF(H30="x","x","")</f>
        <v/>
      </c>
      <c r="I77" s="29" t="str">
        <f aca="false">IF(I30="x","x","")</f>
        <v>x</v>
      </c>
      <c r="J77" s="29" t="str">
        <f aca="false">IF(J30="x","x","")</f>
        <v/>
      </c>
      <c r="K77" s="10" t="n">
        <f aca="false">COUNTIF(D77:J77,"x")</f>
        <v>1</v>
      </c>
    </row>
    <row r="78" customFormat="false" ht="31.5" hidden="false" customHeight="true" outlineLevel="0" collapsed="false">
      <c r="A78" s="9" t="s">
        <v>226</v>
      </c>
      <c r="B78" s="9" t="s">
        <v>142</v>
      </c>
      <c r="C78" s="17" t="s">
        <v>227</v>
      </c>
      <c r="D78" s="28" t="str">
        <f aca="false">IF(D31="x","x","")</f>
        <v>x</v>
      </c>
      <c r="E78" s="29" t="str">
        <f aca="false">IF(E31="x","x","")</f>
        <v/>
      </c>
      <c r="F78" s="29" t="str">
        <f aca="false">IF(F31="x","x","")</f>
        <v/>
      </c>
      <c r="G78" s="29" t="str">
        <f aca="false">IF(G31="x","x","")</f>
        <v/>
      </c>
      <c r="H78" s="29" t="str">
        <f aca="false">IF(H31="x","x","")</f>
        <v/>
      </c>
      <c r="I78" s="29" t="str">
        <f aca="false">IF(I31="x","x","")</f>
        <v>x</v>
      </c>
      <c r="J78" s="29" t="str">
        <f aca="false">IF(J31="x","x","")</f>
        <v/>
      </c>
      <c r="K78" s="10" t="n">
        <f aca="false">COUNTIF(D78:J78,"x")</f>
        <v>2</v>
      </c>
    </row>
    <row r="79" customFormat="false" ht="17.25" hidden="false" customHeight="true" outlineLevel="0" collapsed="false">
      <c r="A79" s="9" t="s">
        <v>228</v>
      </c>
      <c r="B79" s="9" t="s">
        <v>142</v>
      </c>
      <c r="C79" s="17" t="s">
        <v>229</v>
      </c>
      <c r="D79" s="28" t="str">
        <f aca="false">IF(D32="x","x","")</f>
        <v/>
      </c>
      <c r="E79" s="29" t="str">
        <f aca="false">IF(E32="x","x","")</f>
        <v/>
      </c>
      <c r="F79" s="29" t="str">
        <f aca="false">IF(F32="x","x","")</f>
        <v/>
      </c>
      <c r="G79" s="29" t="str">
        <f aca="false">IF(G32="x","x","")</f>
        <v>x</v>
      </c>
      <c r="H79" s="29" t="str">
        <f aca="false">IF(H32="x","x","")</f>
        <v/>
      </c>
      <c r="I79" s="29" t="str">
        <f aca="false">IF(I32="x","x","")</f>
        <v>x</v>
      </c>
      <c r="J79" s="29" t="str">
        <f aca="false">IF(J32="x","x","")</f>
        <v/>
      </c>
      <c r="K79" s="10" t="n">
        <f aca="false">COUNTIF(D79:J79,"x")</f>
        <v>2</v>
      </c>
    </row>
    <row r="80" customFormat="false" ht="17.25" hidden="false" customHeight="true" outlineLevel="0" collapsed="false">
      <c r="A80" s="9" t="s">
        <v>230</v>
      </c>
      <c r="B80" s="9" t="s">
        <v>142</v>
      </c>
      <c r="C80" s="17" t="s">
        <v>231</v>
      </c>
      <c r="D80" s="28" t="str">
        <f aca="false">IF(D33="x","x","")</f>
        <v/>
      </c>
      <c r="E80" s="29" t="str">
        <f aca="false">IF(E33="x","x","")</f>
        <v/>
      </c>
      <c r="F80" s="29" t="str">
        <f aca="false">IF(F33="x","x","")</f>
        <v/>
      </c>
      <c r="G80" s="29" t="str">
        <f aca="false">IF(G33="x","x","")</f>
        <v/>
      </c>
      <c r="H80" s="29" t="str">
        <f aca="false">IF(H33="x","x","")</f>
        <v/>
      </c>
      <c r="I80" s="29" t="str">
        <f aca="false">IF(I33="x","x","")</f>
        <v>x</v>
      </c>
      <c r="J80" s="29" t="str">
        <f aca="false">IF(J33="x","x","")</f>
        <v/>
      </c>
      <c r="K80" s="10" t="n">
        <f aca="false">COUNTIF(D80:J80,"x")</f>
        <v>1</v>
      </c>
    </row>
    <row r="81" customFormat="false" ht="15" hidden="false" customHeight="false" outlineLevel="0" collapsed="false">
      <c r="A81" s="26"/>
      <c r="B81" s="27" t="s">
        <v>155</v>
      </c>
      <c r="C81" s="26"/>
      <c r="D81" s="26"/>
      <c r="E81" s="26"/>
      <c r="F81" s="26"/>
      <c r="G81" s="26"/>
      <c r="H81" s="26"/>
      <c r="I81" s="26"/>
      <c r="J81" s="26"/>
      <c r="K81" s="26"/>
    </row>
    <row r="82" customFormat="false" ht="31.5" hidden="false" customHeight="true" outlineLevel="0" collapsed="false">
      <c r="A82" s="9" t="s">
        <v>232</v>
      </c>
      <c r="B82" s="9" t="s">
        <v>155</v>
      </c>
      <c r="C82" s="17" t="s">
        <v>233</v>
      </c>
      <c r="D82" s="28" t="str">
        <f aca="false">IF(D35="x","x","")</f>
        <v>x</v>
      </c>
      <c r="E82" s="29" t="str">
        <f aca="false">IF(E35="x","x","")</f>
        <v>x</v>
      </c>
      <c r="F82" s="29" t="str">
        <f aca="false">IF(F35="x","x","")</f>
        <v>x</v>
      </c>
      <c r="G82" s="29" t="str">
        <f aca="false">IF(G35="x","x","")</f>
        <v/>
      </c>
      <c r="H82" s="29" t="str">
        <f aca="false">IF(H35="x","x","")</f>
        <v/>
      </c>
      <c r="I82" s="29" t="str">
        <f aca="false">IF(I35="x","x","")</f>
        <v/>
      </c>
      <c r="J82" s="29" t="str">
        <f aca="false">IF(J35="x","x","")</f>
        <v/>
      </c>
      <c r="K82" s="10" t="n">
        <f aca="false">COUNTIF(D82:J82,"x")</f>
        <v>3</v>
      </c>
    </row>
    <row r="83" customFormat="false" ht="17.25" hidden="false" customHeight="true" outlineLevel="0" collapsed="false">
      <c r="A83" s="9" t="s">
        <v>234</v>
      </c>
      <c r="B83" s="9" t="s">
        <v>155</v>
      </c>
      <c r="C83" s="17" t="s">
        <v>235</v>
      </c>
      <c r="D83" s="28" t="str">
        <f aca="false">IF(D36="x","x","")</f>
        <v>x</v>
      </c>
      <c r="E83" s="29" t="str">
        <f aca="false">IF(E36="x","x","")</f>
        <v/>
      </c>
      <c r="F83" s="29" t="str">
        <f aca="false">IF(F36="x","x","")</f>
        <v>x</v>
      </c>
      <c r="G83" s="29" t="str">
        <f aca="false">IF(G36="x","x","")</f>
        <v/>
      </c>
      <c r="H83" s="29" t="str">
        <f aca="false">IF(H36="x","x","")</f>
        <v>x</v>
      </c>
      <c r="I83" s="29" t="str">
        <f aca="false">IF(I36="x","x","")</f>
        <v/>
      </c>
      <c r="J83" s="29" t="str">
        <f aca="false">IF(J36="x","x","")</f>
        <v/>
      </c>
      <c r="K83" s="10" t="n">
        <f aca="false">COUNTIF(D83:J83,"x")</f>
        <v>3</v>
      </c>
    </row>
    <row r="84" customFormat="false" ht="17.25" hidden="false" customHeight="true" outlineLevel="0" collapsed="false">
      <c r="A84" s="9" t="s">
        <v>236</v>
      </c>
      <c r="B84" s="9" t="s">
        <v>155</v>
      </c>
      <c r="C84" s="17" t="s">
        <v>237</v>
      </c>
      <c r="D84" s="28" t="str">
        <f aca="false">IF(D37="x","x","")</f>
        <v>x</v>
      </c>
      <c r="E84" s="29" t="str">
        <f aca="false">IF(E37="x","x","")</f>
        <v/>
      </c>
      <c r="F84" s="29" t="str">
        <f aca="false">IF(F37="x","x","")</f>
        <v/>
      </c>
      <c r="G84" s="29" t="str">
        <f aca="false">IF(G37="x","x","")</f>
        <v>x</v>
      </c>
      <c r="H84" s="29" t="str">
        <f aca="false">IF(H37="x","x","")</f>
        <v>x</v>
      </c>
      <c r="I84" s="29" t="str">
        <f aca="false">IF(I37="x","x","")</f>
        <v>x</v>
      </c>
      <c r="J84" s="29" t="str">
        <f aca="false">IF(J37="x","x","")</f>
        <v/>
      </c>
      <c r="K84" s="10" t="n">
        <f aca="false">COUNTIF(D84:J84,"x")</f>
        <v>4</v>
      </c>
    </row>
    <row r="85" customFormat="false" ht="17.25" hidden="false" customHeight="true" outlineLevel="0" collapsed="false">
      <c r="A85" s="9" t="s">
        <v>238</v>
      </c>
      <c r="B85" s="9" t="s">
        <v>155</v>
      </c>
      <c r="C85" s="17" t="s">
        <v>239</v>
      </c>
      <c r="D85" s="28" t="str">
        <f aca="false">IF(D38="x","x","")</f>
        <v/>
      </c>
      <c r="E85" s="29" t="str">
        <f aca="false">IF(E38="x","x","")</f>
        <v/>
      </c>
      <c r="F85" s="29" t="str">
        <f aca="false">IF(F38="x","x","")</f>
        <v/>
      </c>
      <c r="G85" s="29" t="str">
        <f aca="false">IF(G38="x","x","")</f>
        <v/>
      </c>
      <c r="H85" s="29" t="str">
        <f aca="false">IF(H38="x","x","")</f>
        <v>x</v>
      </c>
      <c r="I85" s="29" t="str">
        <f aca="false">IF(I38="x","x","")</f>
        <v/>
      </c>
      <c r="J85" s="29" t="str">
        <f aca="false">IF(J38="x","x","")</f>
        <v/>
      </c>
      <c r="K85" s="10" t="n">
        <f aca="false">COUNTIF(D85:J85,"x")</f>
        <v>1</v>
      </c>
    </row>
    <row r="86" customFormat="false" ht="17.25" hidden="false" customHeight="true" outlineLevel="0" collapsed="false">
      <c r="A86" s="9" t="s">
        <v>240</v>
      </c>
      <c r="B86" s="9" t="s">
        <v>155</v>
      </c>
      <c r="C86" s="17" t="s">
        <v>241</v>
      </c>
      <c r="D86" s="28" t="str">
        <f aca="false">IF(D39="x","x","")</f>
        <v/>
      </c>
      <c r="E86" s="29" t="str">
        <f aca="false">IF(E39="x","x","")</f>
        <v/>
      </c>
      <c r="F86" s="29" t="str">
        <f aca="false">IF(F39="x","x","")</f>
        <v/>
      </c>
      <c r="G86" s="29" t="str">
        <f aca="false">IF(G39="x","x","")</f>
        <v/>
      </c>
      <c r="H86" s="29" t="str">
        <f aca="false">IF(H39="x","x","")</f>
        <v>x</v>
      </c>
      <c r="I86" s="29" t="str">
        <f aca="false">IF(I39="x","x","")</f>
        <v>x</v>
      </c>
      <c r="J86" s="29" t="str">
        <f aca="false">IF(J39="x","x","")</f>
        <v/>
      </c>
      <c r="K86" s="10" t="n">
        <f aca="false">COUNTIF(D86:J86,"x")</f>
        <v>2</v>
      </c>
    </row>
    <row r="87" customFormat="false" ht="17.25" hidden="false" customHeight="true" outlineLevel="0" collapsed="false">
      <c r="A87" s="9" t="s">
        <v>242</v>
      </c>
      <c r="B87" s="9" t="s">
        <v>155</v>
      </c>
      <c r="C87" s="17" t="s">
        <v>243</v>
      </c>
      <c r="D87" s="28" t="str">
        <f aca="false">IF(D40="x","x","")</f>
        <v>x</v>
      </c>
      <c r="E87" s="29" t="str">
        <f aca="false">IF(E40="x","x","")</f>
        <v/>
      </c>
      <c r="F87" s="29" t="str">
        <f aca="false">IF(F40="x","x","")</f>
        <v>x</v>
      </c>
      <c r="G87" s="29" t="str">
        <f aca="false">IF(G40="x","x","")</f>
        <v/>
      </c>
      <c r="H87" s="29" t="str">
        <f aca="false">IF(H40="x","x","")</f>
        <v/>
      </c>
      <c r="I87" s="29" t="str">
        <f aca="false">IF(I40="x","x","")</f>
        <v/>
      </c>
      <c r="J87" s="29" t="str">
        <f aca="false">IF(J40="x","x","")</f>
        <v/>
      </c>
      <c r="K87" s="10" t="n">
        <f aca="false">COUNTIF(D87:J87,"x")</f>
        <v>2</v>
      </c>
    </row>
    <row r="88" customFormat="false" ht="15" hidden="false" customHeight="false" outlineLevel="0" collapsed="false">
      <c r="A88" s="26"/>
      <c r="B88" s="27" t="s">
        <v>168</v>
      </c>
      <c r="C88" s="26"/>
      <c r="D88" s="26"/>
      <c r="E88" s="26"/>
      <c r="F88" s="26"/>
      <c r="G88" s="26"/>
      <c r="H88" s="26"/>
      <c r="I88" s="26"/>
      <c r="J88" s="26"/>
      <c r="K88" s="26"/>
    </row>
    <row r="89" customFormat="false" ht="17.25" hidden="false" customHeight="true" outlineLevel="0" collapsed="false">
      <c r="A89" s="9" t="s">
        <v>244</v>
      </c>
      <c r="B89" s="9" t="s">
        <v>168</v>
      </c>
      <c r="C89" s="17" t="s">
        <v>245</v>
      </c>
      <c r="D89" s="28" t="str">
        <f aca="false">IF(D42="x","x","")</f>
        <v>x</v>
      </c>
      <c r="E89" s="29" t="str">
        <f aca="false">IF(E42="x","x","")</f>
        <v>x</v>
      </c>
      <c r="F89" s="29" t="str">
        <f aca="false">IF(F42="x","x","")</f>
        <v>x</v>
      </c>
      <c r="G89" s="29" t="str">
        <f aca="false">IF(G42="x","x","")</f>
        <v/>
      </c>
      <c r="H89" s="29" t="str">
        <f aca="false">IF(H42="x","x","")</f>
        <v/>
      </c>
      <c r="I89" s="29" t="str">
        <f aca="false">IF(I42="x","x","")</f>
        <v/>
      </c>
      <c r="J89" s="29" t="str">
        <f aca="false">IF(J42="x","x","")</f>
        <v/>
      </c>
      <c r="K89" s="10" t="n">
        <f aca="false">COUNTIF(D89:J89,"x")</f>
        <v>3</v>
      </c>
    </row>
    <row r="90" customFormat="false" ht="17.25" hidden="false" customHeight="true" outlineLevel="0" collapsed="false">
      <c r="A90" s="9" t="s">
        <v>246</v>
      </c>
      <c r="B90" s="9" t="s">
        <v>168</v>
      </c>
      <c r="C90" s="17" t="s">
        <v>247</v>
      </c>
      <c r="D90" s="28" t="str">
        <f aca="false">IF(D43="x","x","")</f>
        <v>x</v>
      </c>
      <c r="E90" s="29" t="str">
        <f aca="false">IF(E43="x","x","")</f>
        <v/>
      </c>
      <c r="F90" s="29" t="str">
        <f aca="false">IF(F43="x","x","")</f>
        <v/>
      </c>
      <c r="G90" s="29" t="str">
        <f aca="false">IF(G43="x","x","")</f>
        <v>x</v>
      </c>
      <c r="H90" s="29" t="str">
        <f aca="false">IF(H43="x","x","")</f>
        <v>x</v>
      </c>
      <c r="I90" s="29" t="str">
        <f aca="false">IF(I43="x","x","")</f>
        <v>x</v>
      </c>
      <c r="J90" s="29" t="str">
        <f aca="false">IF(J43="x","x","")</f>
        <v/>
      </c>
      <c r="K90" s="10" t="n">
        <f aca="false">COUNTIF(D90:J90,"x")</f>
        <v>4</v>
      </c>
    </row>
    <row r="91" customFormat="false" ht="17.25" hidden="false" customHeight="true" outlineLevel="0" collapsed="false">
      <c r="A91" s="9" t="s">
        <v>248</v>
      </c>
      <c r="B91" s="9" t="s">
        <v>168</v>
      </c>
      <c r="C91" s="17" t="s">
        <v>249</v>
      </c>
      <c r="D91" s="28" t="str">
        <f aca="false">IF(D44="x","x","")</f>
        <v>x</v>
      </c>
      <c r="E91" s="29" t="str">
        <f aca="false">IF(E44="x","x","")</f>
        <v>x</v>
      </c>
      <c r="F91" s="29" t="str">
        <f aca="false">IF(F44="x","x","")</f>
        <v>x</v>
      </c>
      <c r="G91" s="29" t="str">
        <f aca="false">IF(G44="x","x","")</f>
        <v/>
      </c>
      <c r="H91" s="29" t="str">
        <f aca="false">IF(H44="x","x","")</f>
        <v/>
      </c>
      <c r="I91" s="29" t="str">
        <f aca="false">IF(I44="x","x","")</f>
        <v/>
      </c>
      <c r="J91" s="29" t="str">
        <f aca="false">IF(J44="x","x","")</f>
        <v/>
      </c>
      <c r="K91" s="10" t="n">
        <f aca="false">COUNTIF(D91:J91,"x")</f>
        <v>3</v>
      </c>
    </row>
    <row r="92" customFormat="false" ht="15" hidden="false" customHeight="false" outlineLevel="0" collapsed="false">
      <c r="A92" s="26"/>
      <c r="B92" s="27" t="s">
        <v>175</v>
      </c>
      <c r="C92" s="26"/>
      <c r="D92" s="26"/>
      <c r="E92" s="26"/>
      <c r="F92" s="26"/>
      <c r="G92" s="26"/>
      <c r="H92" s="26"/>
      <c r="I92" s="26"/>
      <c r="J92" s="26"/>
      <c r="K92" s="26"/>
    </row>
    <row r="93" customFormat="false" ht="17.25" hidden="false" customHeight="true" outlineLevel="0" collapsed="false">
      <c r="A93" s="9" t="s">
        <v>250</v>
      </c>
      <c r="B93" s="9" t="s">
        <v>175</v>
      </c>
      <c r="C93" s="17" t="s">
        <v>251</v>
      </c>
      <c r="D93" s="28" t="str">
        <f aca="false">IF(D46="x","x","")</f>
        <v>x</v>
      </c>
      <c r="E93" s="29" t="str">
        <f aca="false">IF(E46="x","x","")</f>
        <v>x</v>
      </c>
      <c r="F93" s="29" t="str">
        <f aca="false">IF(F46="x","x","")</f>
        <v>x</v>
      </c>
      <c r="G93" s="29" t="str">
        <f aca="false">IF(G46="x","x","")</f>
        <v/>
      </c>
      <c r="H93" s="29" t="str">
        <f aca="false">IF(H46="x","x","")</f>
        <v/>
      </c>
      <c r="I93" s="29" t="str">
        <f aca="false">IF(I46="x","x","")</f>
        <v/>
      </c>
      <c r="J93" s="29" t="str">
        <f aca="false">IF(J46="x","x","")</f>
        <v/>
      </c>
      <c r="K93" s="10" t="n">
        <f aca="false">COUNTIF(D93:J93,"x")</f>
        <v>3</v>
      </c>
    </row>
    <row r="94" customFormat="false" ht="17.25" hidden="false" customHeight="true" outlineLevel="0" collapsed="false">
      <c r="A94" s="9" t="s">
        <v>252</v>
      </c>
      <c r="B94" s="9" t="s">
        <v>175</v>
      </c>
      <c r="C94" s="17" t="s">
        <v>253</v>
      </c>
      <c r="D94" s="28" t="str">
        <f aca="false">IF(D47="x","x","")</f>
        <v>x</v>
      </c>
      <c r="E94" s="29" t="str">
        <f aca="false">IF(E47="x","x","")</f>
        <v/>
      </c>
      <c r="F94" s="29" t="str">
        <f aca="false">IF(F47="x","x","")</f>
        <v>x</v>
      </c>
      <c r="G94" s="29" t="str">
        <f aca="false">IF(G47="x","x","")</f>
        <v/>
      </c>
      <c r="H94" s="29" t="str">
        <f aca="false">IF(H47="x","x","")</f>
        <v/>
      </c>
      <c r="I94" s="29" t="str">
        <f aca="false">IF(I47="x","x","")</f>
        <v>x</v>
      </c>
      <c r="J94" s="29" t="str">
        <f aca="false">IF(J47="x","x","")</f>
        <v/>
      </c>
      <c r="K94" s="10" t="n">
        <f aca="false">COUNTIF(D94:J94,"x")</f>
        <v>3</v>
      </c>
    </row>
    <row r="95" customFormat="false" ht="17.25" hidden="false" customHeight="true" outlineLevel="0" collapsed="false">
      <c r="A95" s="9" t="s">
        <v>254</v>
      </c>
      <c r="B95" s="9" t="s">
        <v>175</v>
      </c>
      <c r="C95" s="17" t="s">
        <v>255</v>
      </c>
      <c r="D95" s="28" t="str">
        <f aca="false">IF(D48="x","x","")</f>
        <v>x</v>
      </c>
      <c r="E95" s="29" t="str">
        <f aca="false">IF(E48="x","x","")</f>
        <v/>
      </c>
      <c r="F95" s="29" t="str">
        <f aca="false">IF(F48="x","x","")</f>
        <v/>
      </c>
      <c r="G95" s="29" t="str">
        <f aca="false">IF(G48="x","x","")</f>
        <v/>
      </c>
      <c r="H95" s="29" t="str">
        <f aca="false">IF(H48="x","x","")</f>
        <v/>
      </c>
      <c r="I95" s="29" t="str">
        <f aca="false">IF(I48="x","x","")</f>
        <v/>
      </c>
      <c r="J95" s="29" t="str">
        <f aca="false">IF(J48="x","x","")</f>
        <v/>
      </c>
      <c r="K95" s="10" t="n">
        <f aca="false">COUNTIF(D95:J95,"x")</f>
        <v>1</v>
      </c>
    </row>
    <row r="96" customFormat="false" ht="17.25" hidden="false" customHeight="true" outlineLevel="0" collapsed="false">
      <c r="A96" s="9" t="s">
        <v>256</v>
      </c>
      <c r="B96" s="9" t="s">
        <v>175</v>
      </c>
      <c r="C96" s="17" t="s">
        <v>257</v>
      </c>
      <c r="D96" s="28" t="str">
        <f aca="false">IF(D49="x","x","")</f>
        <v/>
      </c>
      <c r="E96" s="29" t="str">
        <f aca="false">IF(E49="x","x","")</f>
        <v/>
      </c>
      <c r="F96" s="29" t="str">
        <f aca="false">IF(F49="x","x","")</f>
        <v/>
      </c>
      <c r="G96" s="29" t="str">
        <f aca="false">IF(G49="x","x","")</f>
        <v>x</v>
      </c>
      <c r="H96" s="29" t="str">
        <f aca="false">IF(H49="x","x","")</f>
        <v>x</v>
      </c>
      <c r="I96" s="29" t="str">
        <f aca="false">IF(I49="x","x","")</f>
        <v>x</v>
      </c>
      <c r="J96" s="29" t="str">
        <f aca="false">IF(J49="x","x","")</f>
        <v/>
      </c>
      <c r="K96" s="10" t="n">
        <f aca="false">COUNTIF(D96:J96,"x")</f>
        <v>3</v>
      </c>
    </row>
    <row r="97" customFormat="false" ht="15" hidden="false" customHeight="false" outlineLevel="0" collapsed="false">
      <c r="C97" s="32" t="s">
        <v>258</v>
      </c>
      <c r="D97" s="33" t="n">
        <f aca="false">COUNTIF(D54:D96,"x")</f>
        <v>27</v>
      </c>
      <c r="E97" s="34" t="n">
        <f aca="false">COUNTIF(E54:E96,"x")</f>
        <v>10</v>
      </c>
      <c r="F97" s="34" t="n">
        <f aca="false">COUNTIF(F54:F96,"x")</f>
        <v>14</v>
      </c>
      <c r="G97" s="34" t="n">
        <f aca="false">COUNTIF(G54:G96,"x")</f>
        <v>12</v>
      </c>
      <c r="H97" s="34" t="n">
        <f aca="false">COUNTIF(H54:H96,"x")</f>
        <v>11</v>
      </c>
      <c r="I97" s="34" t="n">
        <f aca="false">COUNTIF(I54:I96,"x")</f>
        <v>10</v>
      </c>
      <c r="J97" s="34" t="n">
        <f aca="false">COUNTIF(J54:J96,"x")</f>
        <v>1</v>
      </c>
    </row>
    <row r="99" customFormat="false" ht="15" hidden="false" customHeight="false" outlineLevel="0" collapsed="false">
      <c r="A99" s="15" t="s">
        <v>259</v>
      </c>
    </row>
    <row r="100" customFormat="false" ht="15" hidden="false" customHeight="false" outlineLevel="0" collapsed="false">
      <c r="A100" s="2" t="s">
        <v>260</v>
      </c>
    </row>
    <row r="101" customFormat="false" ht="15" hidden="false" customHeight="false" outlineLevel="0" collapsed="false">
      <c r="A101" s="2" t="s">
        <v>261</v>
      </c>
    </row>
    <row r="102" customFormat="false" ht="15" hidden="false" customHeight="false" outlineLevel="0" collapsed="false">
      <c r="A102" s="2" t="s">
        <v>262</v>
      </c>
    </row>
    <row r="103" customFormat="false" ht="15" hidden="false" customHeight="false" outlineLevel="0" collapsed="false">
      <c r="A103" s="2" t="s">
        <v>263</v>
      </c>
    </row>
    <row r="104" customFormat="false" ht="15" hidden="false" customHeight="false" outlineLevel="0" collapsed="false">
      <c r="A104" s="2" t="s">
        <v>264</v>
      </c>
    </row>
  </sheetData>
  <conditionalFormatting sqref="A7:K49">
    <cfRule type="expression" priority="2" aboveAverage="0" equalAverage="0" bottom="0" percent="0" rank="0" text="" dxfId="0">
      <formula>AND($D7="x",COUNTIF($E7:$J7,"x")=0)</formula>
    </cfRule>
  </conditionalFormatting>
  <conditionalFormatting sqref="A54:K96">
    <cfRule type="expression" priority="3" aboveAverage="0" equalAverage="0" bottom="0" percent="0" rank="0" text="" dxfId="0">
      <formula>AND($D54="x",COUNTIF($E54:$J54,"x")=0)</formula>
    </cfRule>
  </conditionalFormatting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52"/>
    <col collapsed="false" customWidth="true" hidden="false" outlineLevel="0" max="5" min="5" style="0" width="22"/>
    <col collapsed="false" customWidth="true" hidden="false" outlineLevel="0" max="7" min="6" style="0" width="30"/>
    <col collapsed="false" customWidth="true" hidden="false" outlineLevel="0" max="8" min="8" style="0" width="40"/>
    <col collapsed="false" customWidth="true" hidden="false" outlineLevel="0" max="9" min="9" style="0" width="44"/>
    <col collapsed="false" customWidth="true" hidden="false" outlineLevel="0" max="10" min="10" style="0" width="12"/>
  </cols>
  <sheetData>
    <row r="1" customFormat="false" ht="24" hidden="false" customHeight="true" outlineLevel="0" collapsed="false">
      <c r="A1" s="1" t="s">
        <v>265</v>
      </c>
    </row>
    <row r="2" customFormat="false" ht="15" hidden="false" customHeight="false" outlineLevel="0" collapsed="false">
      <c r="A2" s="2" t="s">
        <v>266</v>
      </c>
    </row>
    <row r="4" customFormat="false" ht="28.35" hidden="false" customHeight="false" outlineLevel="0" collapsed="false">
      <c r="A4" s="3" t="s">
        <v>267</v>
      </c>
      <c r="B4" s="3" t="s">
        <v>3</v>
      </c>
      <c r="C4" s="3" t="s">
        <v>268</v>
      </c>
      <c r="D4" s="3" t="s">
        <v>269</v>
      </c>
      <c r="E4" s="3" t="s">
        <v>270</v>
      </c>
      <c r="F4" s="3" t="s">
        <v>271</v>
      </c>
      <c r="G4" s="3" t="s">
        <v>272</v>
      </c>
      <c r="H4" s="3" t="s">
        <v>273</v>
      </c>
      <c r="I4" s="3" t="s">
        <v>274</v>
      </c>
      <c r="J4" s="3" t="s">
        <v>275</v>
      </c>
    </row>
    <row r="5" customFormat="false" ht="104.25" hidden="false" customHeight="true" outlineLevel="0" collapsed="false">
      <c r="A5" s="35" t="s">
        <v>276</v>
      </c>
      <c r="B5" s="17" t="s">
        <v>277</v>
      </c>
      <c r="C5" s="17" t="s">
        <v>278</v>
      </c>
      <c r="D5" s="17" t="s">
        <v>279</v>
      </c>
      <c r="E5" s="17" t="s">
        <v>280</v>
      </c>
      <c r="F5" s="17" t="s">
        <v>281</v>
      </c>
      <c r="G5" s="17" t="s">
        <v>282</v>
      </c>
      <c r="H5" s="17" t="s">
        <v>283</v>
      </c>
      <c r="I5" s="36" t="s">
        <v>284</v>
      </c>
      <c r="J5" s="17" t="s">
        <v>285</v>
      </c>
    </row>
    <row r="6" customFormat="false" ht="75" hidden="false" customHeight="true" outlineLevel="0" collapsed="false">
      <c r="A6" s="35" t="s">
        <v>286</v>
      </c>
      <c r="B6" s="17" t="s">
        <v>277</v>
      </c>
      <c r="C6" s="17" t="s">
        <v>287</v>
      </c>
      <c r="D6" s="17" t="s">
        <v>288</v>
      </c>
      <c r="E6" s="17" t="s">
        <v>289</v>
      </c>
      <c r="F6" s="17" t="s">
        <v>290</v>
      </c>
      <c r="G6" s="17" t="s">
        <v>291</v>
      </c>
      <c r="H6" s="17" t="s">
        <v>292</v>
      </c>
      <c r="I6" s="36" t="s">
        <v>293</v>
      </c>
      <c r="J6" s="17" t="s">
        <v>285</v>
      </c>
    </row>
    <row r="7" customFormat="false" ht="75" hidden="false" customHeight="true" outlineLevel="0" collapsed="false">
      <c r="A7" s="35" t="s">
        <v>294</v>
      </c>
      <c r="B7" s="17" t="s">
        <v>295</v>
      </c>
      <c r="C7" s="17" t="s">
        <v>296</v>
      </c>
      <c r="D7" s="17" t="s">
        <v>297</v>
      </c>
      <c r="E7" s="17" t="s">
        <v>298</v>
      </c>
      <c r="F7" s="17" t="s">
        <v>299</v>
      </c>
      <c r="G7" s="17" t="s">
        <v>300</v>
      </c>
      <c r="H7" s="17" t="s">
        <v>301</v>
      </c>
      <c r="I7" s="36" t="s">
        <v>302</v>
      </c>
      <c r="J7" s="17" t="s">
        <v>285</v>
      </c>
    </row>
    <row r="8" customFormat="false" ht="75" hidden="false" customHeight="true" outlineLevel="0" collapsed="false">
      <c r="A8" s="35" t="s">
        <v>14</v>
      </c>
      <c r="B8" s="17" t="s">
        <v>295</v>
      </c>
      <c r="C8" s="17" t="s">
        <v>303</v>
      </c>
      <c r="D8" s="17" t="s">
        <v>304</v>
      </c>
      <c r="E8" s="17" t="s">
        <v>305</v>
      </c>
      <c r="F8" s="17" t="s">
        <v>306</v>
      </c>
      <c r="G8" s="17" t="s">
        <v>307</v>
      </c>
      <c r="H8" s="17" t="s">
        <v>308</v>
      </c>
      <c r="I8" s="36" t="s">
        <v>309</v>
      </c>
      <c r="J8" s="17" t="s">
        <v>285</v>
      </c>
    </row>
    <row r="9" customFormat="false" ht="75" hidden="false" customHeight="true" outlineLevel="0" collapsed="false">
      <c r="A9" s="35" t="s">
        <v>16</v>
      </c>
      <c r="B9" s="17" t="s">
        <v>295</v>
      </c>
      <c r="C9" s="17" t="s">
        <v>310</v>
      </c>
      <c r="D9" s="17" t="s">
        <v>311</v>
      </c>
      <c r="E9" s="17" t="s">
        <v>312</v>
      </c>
      <c r="F9" s="17" t="s">
        <v>313</v>
      </c>
      <c r="G9" s="17" t="s">
        <v>314</v>
      </c>
      <c r="H9" s="17" t="s">
        <v>315</v>
      </c>
      <c r="I9" s="36" t="s">
        <v>316</v>
      </c>
      <c r="J9" s="17" t="s">
        <v>285</v>
      </c>
    </row>
    <row r="10" customFormat="false" ht="60.75" hidden="false" customHeight="true" outlineLevel="0" collapsed="false">
      <c r="A10" s="18" t="s">
        <v>317</v>
      </c>
      <c r="B10" s="17" t="s">
        <v>318</v>
      </c>
      <c r="C10" s="17" t="s">
        <v>319</v>
      </c>
      <c r="D10" s="17" t="s">
        <v>320</v>
      </c>
      <c r="E10" s="17" t="s">
        <v>321</v>
      </c>
      <c r="F10" s="17" t="s">
        <v>322</v>
      </c>
      <c r="G10" s="17" t="s">
        <v>323</v>
      </c>
      <c r="H10" s="17" t="s">
        <v>324</v>
      </c>
      <c r="I10" s="17" t="s">
        <v>325</v>
      </c>
      <c r="J10" s="17" t="s">
        <v>326</v>
      </c>
    </row>
  </sheetData>
  <hyperlinks>
    <hyperlink ref="A5" r:id="rId1" display="World Education Services (WES)"/>
    <hyperlink ref="I5" r:id="rId2" display="https://www.wes.org/evaluations/"/>
    <hyperlink ref="A6" r:id="rId3" display="Educational Credential Evaluators (ECE)"/>
    <hyperlink ref="I6" r:id="rId4" display="https://www.ece.org/ECE/Credential-Evaluations/US-Institutions/Services-and-Fees"/>
    <hyperlink ref="A7" r:id="rId5" display="i-Ready (Curriculum Associates)"/>
    <hyperlink ref="I7" r:id="rId6" display="https://www.curriculumassociates.com/programs/i-ready-assessment/diagnostic"/>
    <hyperlink ref="A8" r:id="rId7" display="Ellevation"/>
    <hyperlink ref="I8" r:id="rId8" display="https://ellevationeducation.com/product/ellevation-platform"/>
    <hyperlink ref="A9" r:id="rId9" display="TalkingPoints"/>
    <hyperlink ref="I9" r:id="rId10" display="https://talkingpts.org/teachers/"/>
  </hyperlink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2"/>
    <col collapsed="false" customWidth="true" hidden="false" outlineLevel="0" max="3" min="3" style="0" width="13"/>
    <col collapsed="false" customWidth="true" hidden="false" outlineLevel="0" max="6" min="4" style="0" width="9"/>
    <col collapsed="false" customWidth="true" hidden="false" outlineLevel="0" max="7" min="7" style="0" width="11"/>
    <col collapsed="false" customWidth="true" hidden="false" outlineLevel="0" max="9" min="8" style="0" width="13"/>
  </cols>
  <sheetData>
    <row r="1" customFormat="false" ht="24" hidden="false" customHeight="true" outlineLevel="0" collapsed="false">
      <c r="A1" s="1" t="s">
        <v>327</v>
      </c>
    </row>
    <row r="2" customFormat="false" ht="15" hidden="false" customHeight="false" outlineLevel="0" collapsed="false">
      <c r="A2" s="2" t="s">
        <v>328</v>
      </c>
    </row>
    <row r="4" customFormat="false" ht="31.5" hidden="false" customHeight="true" outlineLevel="0" collapsed="false">
      <c r="A4" s="3" t="s">
        <v>329</v>
      </c>
      <c r="B4" s="3" t="s">
        <v>330</v>
      </c>
      <c r="C4" s="25" t="s">
        <v>7</v>
      </c>
      <c r="D4" s="4" t="s">
        <v>9</v>
      </c>
      <c r="E4" s="4" t="s">
        <v>11</v>
      </c>
      <c r="F4" s="4" t="s">
        <v>12</v>
      </c>
      <c r="G4" s="4" t="s">
        <v>14</v>
      </c>
      <c r="H4" s="4" t="s">
        <v>16</v>
      </c>
      <c r="I4" s="4" t="s">
        <v>18</v>
      </c>
    </row>
    <row r="5" customFormat="false" ht="31.5" hidden="false" customHeight="true" outlineLevel="0" collapsed="false">
      <c r="A5" s="18" t="s">
        <v>331</v>
      </c>
      <c r="B5" s="9" t="s">
        <v>332</v>
      </c>
      <c r="C5" s="37" t="n">
        <f aca="false">('Features &amp; Benefits Matrix'!D7="x")+('Features &amp; Benefits Matrix'!D8="x")+('Features &amp; Benefits Matrix'!D9="x")</f>
        <v>3</v>
      </c>
      <c r="D5" s="38" t="n">
        <f aca="false">('Features &amp; Benefits Matrix'!E7="x")+('Features &amp; Benefits Matrix'!E8="x")+('Features &amp; Benefits Matrix'!E9="x")</f>
        <v>2</v>
      </c>
      <c r="E5" s="38" t="n">
        <f aca="false">('Features &amp; Benefits Matrix'!F7="x")+('Features &amp; Benefits Matrix'!F8="x")+('Features &amp; Benefits Matrix'!F9="x")</f>
        <v>2</v>
      </c>
      <c r="F5" s="38" t="n">
        <f aca="false">('Features &amp; Benefits Matrix'!G7="x")+('Features &amp; Benefits Matrix'!G8="x")+('Features &amp; Benefits Matrix'!G9="x")</f>
        <v>0</v>
      </c>
      <c r="G5" s="38" t="n">
        <f aca="false">('Features &amp; Benefits Matrix'!H7="x")+('Features &amp; Benefits Matrix'!H8="x")+('Features &amp; Benefits Matrix'!H9="x")</f>
        <v>0</v>
      </c>
      <c r="H5" s="38" t="n">
        <f aca="false">('Features &amp; Benefits Matrix'!I7="x")+('Features &amp; Benefits Matrix'!I8="x")+('Features &amp; Benefits Matrix'!I9="x")</f>
        <v>0</v>
      </c>
      <c r="I5" s="38" t="n">
        <f aca="false">('Features &amp; Benefits Matrix'!J7="x")+('Features &amp; Benefits Matrix'!J8="x")+('Features &amp; Benefits Matrix'!J9="x")</f>
        <v>1</v>
      </c>
    </row>
    <row r="6" customFormat="false" ht="31.5" hidden="false" customHeight="true" outlineLevel="0" collapsed="false">
      <c r="A6" s="18" t="s">
        <v>333</v>
      </c>
      <c r="B6" s="9" t="s">
        <v>334</v>
      </c>
      <c r="C6" s="37" t="n">
        <f aca="false">('Features &amp; Benefits Matrix'!D14="x")+('Features &amp; Benefits Matrix'!D15="x")+('Features &amp; Benefits Matrix'!D16="x")</f>
        <v>3</v>
      </c>
      <c r="D6" s="38" t="n">
        <f aca="false">('Features &amp; Benefits Matrix'!E14="x")+('Features &amp; Benefits Matrix'!E15="x")+('Features &amp; Benefits Matrix'!E16="x")</f>
        <v>2</v>
      </c>
      <c r="E6" s="38" t="n">
        <f aca="false">('Features &amp; Benefits Matrix'!F14="x")+('Features &amp; Benefits Matrix'!F15="x")+('Features &amp; Benefits Matrix'!F16="x")</f>
        <v>2</v>
      </c>
      <c r="F6" s="38" t="n">
        <f aca="false">('Features &amp; Benefits Matrix'!G14="x")+('Features &amp; Benefits Matrix'!G15="x")+('Features &amp; Benefits Matrix'!G16="x")</f>
        <v>0</v>
      </c>
      <c r="G6" s="38" t="n">
        <f aca="false">('Features &amp; Benefits Matrix'!H14="x")+('Features &amp; Benefits Matrix'!H15="x")+('Features &amp; Benefits Matrix'!H16="x")</f>
        <v>0</v>
      </c>
      <c r="H6" s="38" t="n">
        <f aca="false">('Features &amp; Benefits Matrix'!I14="x")+('Features &amp; Benefits Matrix'!I15="x")+('Features &amp; Benefits Matrix'!I16="x")</f>
        <v>0</v>
      </c>
      <c r="I6" s="38" t="n">
        <f aca="false">('Features &amp; Benefits Matrix'!J14="x")+('Features &amp; Benefits Matrix'!J15="x")+('Features &amp; Benefits Matrix'!J16="x")</f>
        <v>0</v>
      </c>
    </row>
    <row r="7" customFormat="false" ht="31.5" hidden="false" customHeight="true" outlineLevel="0" collapsed="false">
      <c r="A7" s="18" t="s">
        <v>335</v>
      </c>
      <c r="B7" s="9" t="s">
        <v>336</v>
      </c>
      <c r="C7" s="37" t="n">
        <f aca="false">('Features &amp; Benefits Matrix'!D18="x")+('Features &amp; Benefits Matrix'!D20="x")+('Features &amp; Benefits Matrix'!D21="x")</f>
        <v>3</v>
      </c>
      <c r="D7" s="38" t="n">
        <f aca="false">('Features &amp; Benefits Matrix'!E18="x")+('Features &amp; Benefits Matrix'!E20="x")+('Features &amp; Benefits Matrix'!E21="x")</f>
        <v>0</v>
      </c>
      <c r="E7" s="38" t="n">
        <f aca="false">('Features &amp; Benefits Matrix'!F18="x")+('Features &amp; Benefits Matrix'!F20="x")+('Features &amp; Benefits Matrix'!F21="x")</f>
        <v>0</v>
      </c>
      <c r="F7" s="38" t="n">
        <f aca="false">('Features &amp; Benefits Matrix'!G18="x")+('Features &amp; Benefits Matrix'!G20="x")+('Features &amp; Benefits Matrix'!G21="x")</f>
        <v>2</v>
      </c>
      <c r="G7" s="38" t="n">
        <f aca="false">('Features &amp; Benefits Matrix'!H18="x")+('Features &amp; Benefits Matrix'!H20="x")+('Features &amp; Benefits Matrix'!H21="x")</f>
        <v>1</v>
      </c>
      <c r="H7" s="38" t="n">
        <f aca="false">('Features &amp; Benefits Matrix'!I18="x")+('Features &amp; Benefits Matrix'!I20="x")+('Features &amp; Benefits Matrix'!I21="x")</f>
        <v>0</v>
      </c>
      <c r="I7" s="38" t="n">
        <f aca="false">('Features &amp; Benefits Matrix'!J18="x")+('Features &amp; Benefits Matrix'!J20="x")+('Features &amp; Benefits Matrix'!J21="x")</f>
        <v>0</v>
      </c>
    </row>
    <row r="8" customFormat="false" ht="46.5" hidden="false" customHeight="true" outlineLevel="0" collapsed="false">
      <c r="A8" s="18" t="s">
        <v>337</v>
      </c>
      <c r="B8" s="9" t="s">
        <v>338</v>
      </c>
      <c r="C8" s="37" t="n">
        <f aca="false">('Features &amp; Benefits Matrix'!D23="x")+('Features &amp; Benefits Matrix'!D24="x")+('Features &amp; Benefits Matrix'!D25="x")</f>
        <v>3</v>
      </c>
      <c r="D8" s="38" t="n">
        <f aca="false">('Features &amp; Benefits Matrix'!E23="x")+('Features &amp; Benefits Matrix'!E24="x")+('Features &amp; Benefits Matrix'!E25="x")</f>
        <v>0</v>
      </c>
      <c r="E8" s="38" t="n">
        <f aca="false">('Features &amp; Benefits Matrix'!F23="x")+('Features &amp; Benefits Matrix'!F24="x")+('Features &amp; Benefits Matrix'!F25="x")</f>
        <v>0</v>
      </c>
      <c r="F8" s="38" t="n">
        <f aca="false">('Features &amp; Benefits Matrix'!G23="x")+('Features &amp; Benefits Matrix'!G24="x")+('Features &amp; Benefits Matrix'!G25="x")</f>
        <v>2</v>
      </c>
      <c r="G8" s="38" t="n">
        <f aca="false">('Features &amp; Benefits Matrix'!H23="x")+('Features &amp; Benefits Matrix'!H24="x")+('Features &amp; Benefits Matrix'!H25="x")</f>
        <v>2</v>
      </c>
      <c r="H8" s="38" t="n">
        <f aca="false">('Features &amp; Benefits Matrix'!I23="x")+('Features &amp; Benefits Matrix'!I24="x")+('Features &amp; Benefits Matrix'!I25="x")</f>
        <v>0</v>
      </c>
      <c r="I8" s="38" t="n">
        <f aca="false">('Features &amp; Benefits Matrix'!J23="x")+('Features &amp; Benefits Matrix'!J24="x")+('Features &amp; Benefits Matrix'!J25="x")</f>
        <v>0</v>
      </c>
    </row>
    <row r="9" customFormat="false" ht="46.5" hidden="false" customHeight="true" outlineLevel="0" collapsed="false">
      <c r="A9" s="18" t="s">
        <v>339</v>
      </c>
      <c r="B9" s="9" t="s">
        <v>340</v>
      </c>
      <c r="C9" s="37" t="n">
        <f aca="false">('Features &amp; Benefits Matrix'!D28="x")+('Features &amp; Benefits Matrix'!D29="x")+('Features &amp; Benefits Matrix'!D31="x")</f>
        <v>3</v>
      </c>
      <c r="D9" s="38" t="n">
        <f aca="false">('Features &amp; Benefits Matrix'!E28="x")+('Features &amp; Benefits Matrix'!E29="x")+('Features &amp; Benefits Matrix'!E31="x")</f>
        <v>0</v>
      </c>
      <c r="E9" s="38" t="n">
        <f aca="false">('Features &amp; Benefits Matrix'!F28="x")+('Features &amp; Benefits Matrix'!F29="x")+('Features &amp; Benefits Matrix'!F31="x")</f>
        <v>0</v>
      </c>
      <c r="F9" s="38" t="n">
        <f aca="false">('Features &amp; Benefits Matrix'!G28="x")+('Features &amp; Benefits Matrix'!G29="x")+('Features &amp; Benefits Matrix'!G31="x")</f>
        <v>2</v>
      </c>
      <c r="G9" s="38" t="n">
        <f aca="false">('Features &amp; Benefits Matrix'!H28="x")+('Features &amp; Benefits Matrix'!H29="x")+('Features &amp; Benefits Matrix'!H31="x")</f>
        <v>1</v>
      </c>
      <c r="H9" s="38" t="n">
        <f aca="false">('Features &amp; Benefits Matrix'!I28="x")+('Features &amp; Benefits Matrix'!I29="x")+('Features &amp; Benefits Matrix'!I31="x")</f>
        <v>2</v>
      </c>
      <c r="I9" s="38" t="n">
        <f aca="false">('Features &amp; Benefits Matrix'!J28="x")+('Features &amp; Benefits Matrix'!J29="x")+('Features &amp; Benefits Matrix'!J31="x")</f>
        <v>0</v>
      </c>
    </row>
    <row r="10" customFormat="false" ht="31.5" hidden="false" customHeight="true" outlineLevel="0" collapsed="false">
      <c r="A10" s="18" t="s">
        <v>341</v>
      </c>
      <c r="B10" s="9" t="s">
        <v>342</v>
      </c>
      <c r="C10" s="37" t="n">
        <f aca="false">('Features &amp; Benefits Matrix'!D35="x")+('Features &amp; Benefits Matrix'!D36="x")+('Features &amp; Benefits Matrix'!D40="x")</f>
        <v>3</v>
      </c>
      <c r="D10" s="38" t="n">
        <f aca="false">('Features &amp; Benefits Matrix'!E35="x")+('Features &amp; Benefits Matrix'!E36="x")+('Features &amp; Benefits Matrix'!E40="x")</f>
        <v>1</v>
      </c>
      <c r="E10" s="38" t="n">
        <f aca="false">('Features &amp; Benefits Matrix'!F35="x")+('Features &amp; Benefits Matrix'!F36="x")+('Features &amp; Benefits Matrix'!F40="x")</f>
        <v>3</v>
      </c>
      <c r="F10" s="38" t="n">
        <f aca="false">('Features &amp; Benefits Matrix'!G35="x")+('Features &amp; Benefits Matrix'!G36="x")+('Features &amp; Benefits Matrix'!G40="x")</f>
        <v>0</v>
      </c>
      <c r="G10" s="38" t="n">
        <f aca="false">('Features &amp; Benefits Matrix'!H35="x")+('Features &amp; Benefits Matrix'!H36="x")+('Features &amp; Benefits Matrix'!H40="x")</f>
        <v>1</v>
      </c>
      <c r="H10" s="38" t="n">
        <f aca="false">('Features &amp; Benefits Matrix'!I35="x")+('Features &amp; Benefits Matrix'!I36="x")+('Features &amp; Benefits Matrix'!I40="x")</f>
        <v>0</v>
      </c>
      <c r="I10" s="38" t="n">
        <f aca="false">('Features &amp; Benefits Matrix'!J35="x")+('Features &amp; Benefits Matrix'!J36="x")+('Features &amp; Benefits Matrix'!J40="x")</f>
        <v>0</v>
      </c>
    </row>
    <row r="11" customFormat="false" ht="46.5" hidden="false" customHeight="true" outlineLevel="0" collapsed="false">
      <c r="A11" s="18" t="s">
        <v>343</v>
      </c>
      <c r="B11" s="9" t="s">
        <v>344</v>
      </c>
      <c r="C11" s="37" t="n">
        <f aca="false">('Features &amp; Benefits Matrix'!D11="x")+('Features &amp; Benefits Matrix'!D42="x")+('Features &amp; Benefits Matrix'!D43="x")</f>
        <v>2</v>
      </c>
      <c r="D11" s="38" t="n">
        <f aca="false">('Features &amp; Benefits Matrix'!E11="x")+('Features &amp; Benefits Matrix'!E42="x")+('Features &amp; Benefits Matrix'!E43="x")</f>
        <v>2</v>
      </c>
      <c r="E11" s="38" t="n">
        <f aca="false">('Features &amp; Benefits Matrix'!F11="x")+('Features &amp; Benefits Matrix'!F42="x")+('Features &amp; Benefits Matrix'!F43="x")</f>
        <v>2</v>
      </c>
      <c r="F11" s="38" t="n">
        <f aca="false">('Features &amp; Benefits Matrix'!G11="x")+('Features &amp; Benefits Matrix'!G42="x")+('Features &amp; Benefits Matrix'!G43="x")</f>
        <v>1</v>
      </c>
      <c r="G11" s="38" t="n">
        <f aca="false">('Features &amp; Benefits Matrix'!H11="x")+('Features &amp; Benefits Matrix'!H42="x")+('Features &amp; Benefits Matrix'!H43="x")</f>
        <v>1</v>
      </c>
      <c r="H11" s="38" t="n">
        <f aca="false">('Features &amp; Benefits Matrix'!I11="x")+('Features &amp; Benefits Matrix'!I42="x")+('Features &amp; Benefits Matrix'!I43="x")</f>
        <v>1</v>
      </c>
      <c r="I11" s="38" t="n">
        <f aca="false">('Features &amp; Benefits Matrix'!J11="x")+('Features &amp; Benefits Matrix'!J42="x")+('Features &amp; Benefits Matrix'!J43="x")</f>
        <v>0</v>
      </c>
    </row>
    <row r="12" customFormat="false" ht="31.5" hidden="false" customHeight="true" outlineLevel="0" collapsed="false">
      <c r="A12" s="18" t="s">
        <v>345</v>
      </c>
      <c r="B12" s="9" t="s">
        <v>346</v>
      </c>
      <c r="C12" s="37" t="n">
        <f aca="false">('Features &amp; Benefits Matrix'!D44="x")+('Features &amp; Benefits Matrix'!D47="x")+('Features &amp; Benefits Matrix'!D48="x")</f>
        <v>3</v>
      </c>
      <c r="D12" s="38" t="n">
        <f aca="false">('Features &amp; Benefits Matrix'!E44="x")+('Features &amp; Benefits Matrix'!E47="x")+('Features &amp; Benefits Matrix'!E48="x")</f>
        <v>1</v>
      </c>
      <c r="E12" s="38" t="n">
        <f aca="false">('Features &amp; Benefits Matrix'!F44="x")+('Features &amp; Benefits Matrix'!F47="x")+('Features &amp; Benefits Matrix'!F48="x")</f>
        <v>2</v>
      </c>
      <c r="F12" s="38" t="n">
        <f aca="false">('Features &amp; Benefits Matrix'!G44="x")+('Features &amp; Benefits Matrix'!G47="x")+('Features &amp; Benefits Matrix'!G48="x")</f>
        <v>0</v>
      </c>
      <c r="G12" s="38" t="n">
        <f aca="false">('Features &amp; Benefits Matrix'!H44="x")+('Features &amp; Benefits Matrix'!H47="x")+('Features &amp; Benefits Matrix'!H48="x")</f>
        <v>0</v>
      </c>
      <c r="H12" s="38" t="n">
        <f aca="false">('Features &amp; Benefits Matrix'!I44="x")+('Features &amp; Benefits Matrix'!I47="x")+('Features &amp; Benefits Matrix'!I48="x")</f>
        <v>1</v>
      </c>
      <c r="I12" s="38" t="n">
        <f aca="false">('Features &amp; Benefits Matrix'!J44="x")+('Features &amp; Benefits Matrix'!J47="x")+('Features &amp; Benefits Matrix'!J48="x")</f>
        <v>0</v>
      </c>
    </row>
    <row r="14" customFormat="false" ht="15" hidden="false" customHeight="false" outlineLevel="0" collapsed="false">
      <c r="A14" s="11" t="s">
        <v>347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80"/>
    <col collapsed="false" customWidth="true" hidden="false" outlineLevel="0" max="6" min="6" style="0" width="12"/>
    <col collapsed="false" customWidth="true" hidden="false" outlineLevel="0" max="7" min="7" style="0" width="40"/>
  </cols>
  <sheetData>
    <row r="1" customFormat="false" ht="24" hidden="false" customHeight="true" outlineLevel="0" collapsed="false">
      <c r="A1" s="1" t="s">
        <v>348</v>
      </c>
    </row>
    <row r="2" customFormat="false" ht="15" hidden="false" customHeight="false" outlineLevel="0" collapsed="false">
      <c r="A2" s="2" t="s">
        <v>349</v>
      </c>
    </row>
    <row r="4" customFormat="false" ht="28.35" hidden="false" customHeight="false" outlineLevel="0" collapsed="false">
      <c r="A4" s="3" t="s">
        <v>350</v>
      </c>
      <c r="B4" s="3" t="s">
        <v>2</v>
      </c>
      <c r="C4" s="3" t="s">
        <v>351</v>
      </c>
      <c r="D4" s="3" t="s">
        <v>352</v>
      </c>
      <c r="E4" s="3" t="s">
        <v>353</v>
      </c>
      <c r="F4" s="3" t="s">
        <v>275</v>
      </c>
      <c r="G4" s="3" t="s">
        <v>354</v>
      </c>
    </row>
    <row r="5" customFormat="false" ht="46.5" hidden="false" customHeight="true" outlineLevel="0" collapsed="false">
      <c r="A5" s="39" t="s">
        <v>355</v>
      </c>
      <c r="B5" s="39" t="s">
        <v>9</v>
      </c>
      <c r="C5" s="39" t="s">
        <v>356</v>
      </c>
      <c r="D5" s="39" t="s">
        <v>357</v>
      </c>
      <c r="E5" s="40" t="s">
        <v>358</v>
      </c>
      <c r="F5" s="39" t="s">
        <v>285</v>
      </c>
      <c r="G5" s="39" t="s">
        <v>359</v>
      </c>
    </row>
    <row r="6" customFormat="false" ht="46.5" hidden="false" customHeight="true" outlineLevel="0" collapsed="false">
      <c r="A6" s="39" t="s">
        <v>360</v>
      </c>
      <c r="B6" s="39" t="s">
        <v>9</v>
      </c>
      <c r="C6" s="39" t="s">
        <v>361</v>
      </c>
      <c r="D6" s="39" t="s">
        <v>116</v>
      </c>
      <c r="E6" s="40" t="s">
        <v>362</v>
      </c>
      <c r="F6" s="39" t="s">
        <v>285</v>
      </c>
      <c r="G6" s="39" t="s">
        <v>359</v>
      </c>
    </row>
    <row r="7" customFormat="false" ht="46.5" hidden="false" customHeight="true" outlineLevel="0" collapsed="false">
      <c r="A7" s="39" t="s">
        <v>363</v>
      </c>
      <c r="B7" s="39" t="s">
        <v>9</v>
      </c>
      <c r="C7" s="39" t="s">
        <v>364</v>
      </c>
      <c r="D7" s="39" t="s">
        <v>176</v>
      </c>
      <c r="E7" s="40" t="s">
        <v>284</v>
      </c>
      <c r="F7" s="39" t="s">
        <v>285</v>
      </c>
      <c r="G7" s="39" t="s">
        <v>359</v>
      </c>
    </row>
    <row r="8" customFormat="false" ht="46.5" hidden="false" customHeight="true" outlineLevel="0" collapsed="false">
      <c r="A8" s="39" t="s">
        <v>365</v>
      </c>
      <c r="B8" s="39" t="s">
        <v>9</v>
      </c>
      <c r="C8" s="39" t="s">
        <v>366</v>
      </c>
      <c r="D8" s="39" t="s">
        <v>166</v>
      </c>
      <c r="E8" s="40" t="s">
        <v>367</v>
      </c>
      <c r="F8" s="39" t="s">
        <v>285</v>
      </c>
      <c r="G8" s="39" t="s">
        <v>359</v>
      </c>
    </row>
    <row r="9" customFormat="false" ht="46.5" hidden="false" customHeight="true" outlineLevel="0" collapsed="false">
      <c r="A9" s="39" t="s">
        <v>368</v>
      </c>
      <c r="B9" s="39" t="s">
        <v>9</v>
      </c>
      <c r="C9" s="39" t="s">
        <v>369</v>
      </c>
      <c r="D9" s="39" t="s">
        <v>113</v>
      </c>
      <c r="E9" s="40" t="s">
        <v>370</v>
      </c>
      <c r="F9" s="39" t="s">
        <v>285</v>
      </c>
      <c r="G9" s="39" t="s">
        <v>359</v>
      </c>
    </row>
    <row r="10" customFormat="false" ht="46.5" hidden="false" customHeight="true" outlineLevel="0" collapsed="false">
      <c r="A10" s="39" t="s">
        <v>371</v>
      </c>
      <c r="B10" s="39" t="s">
        <v>9</v>
      </c>
      <c r="C10" s="39" t="s">
        <v>372</v>
      </c>
      <c r="D10" s="39" t="s">
        <v>373</v>
      </c>
      <c r="E10" s="40" t="s">
        <v>374</v>
      </c>
      <c r="F10" s="39" t="s">
        <v>285</v>
      </c>
      <c r="G10" s="39" t="s">
        <v>359</v>
      </c>
    </row>
    <row r="11" customFormat="false" ht="46.5" hidden="false" customHeight="true" outlineLevel="0" collapsed="false">
      <c r="A11" s="39" t="s">
        <v>375</v>
      </c>
      <c r="B11" s="39" t="s">
        <v>9</v>
      </c>
      <c r="C11" s="39" t="s">
        <v>376</v>
      </c>
      <c r="D11" s="39" t="s">
        <v>104</v>
      </c>
      <c r="E11" s="40" t="s">
        <v>377</v>
      </c>
      <c r="F11" s="39" t="s">
        <v>285</v>
      </c>
      <c r="G11" s="39" t="s">
        <v>359</v>
      </c>
    </row>
    <row r="12" customFormat="false" ht="46.5" hidden="false" customHeight="true" outlineLevel="0" collapsed="false">
      <c r="A12" s="39" t="s">
        <v>378</v>
      </c>
      <c r="B12" s="39" t="s">
        <v>9</v>
      </c>
      <c r="C12" s="39" t="s">
        <v>379</v>
      </c>
      <c r="D12" s="39" t="s">
        <v>380</v>
      </c>
      <c r="E12" s="40" t="s">
        <v>381</v>
      </c>
      <c r="F12" s="39" t="s">
        <v>285</v>
      </c>
      <c r="G12" s="39" t="s">
        <v>359</v>
      </c>
    </row>
    <row r="13" customFormat="false" ht="46.5" hidden="false" customHeight="true" outlineLevel="0" collapsed="false">
      <c r="A13" s="39" t="s">
        <v>382</v>
      </c>
      <c r="B13" s="39" t="s">
        <v>9</v>
      </c>
      <c r="C13" s="39" t="s">
        <v>383</v>
      </c>
      <c r="D13" s="39" t="s">
        <v>156</v>
      </c>
      <c r="E13" s="40" t="s">
        <v>384</v>
      </c>
      <c r="F13" s="39" t="s">
        <v>285</v>
      </c>
      <c r="G13" s="39" t="s">
        <v>359</v>
      </c>
    </row>
    <row r="14" customFormat="false" ht="46.5" hidden="false" customHeight="true" outlineLevel="0" collapsed="false">
      <c r="A14" s="39" t="s">
        <v>385</v>
      </c>
      <c r="B14" s="39" t="s">
        <v>11</v>
      </c>
      <c r="C14" s="39" t="s">
        <v>386</v>
      </c>
      <c r="D14" s="39" t="s">
        <v>387</v>
      </c>
      <c r="E14" s="40" t="s">
        <v>293</v>
      </c>
      <c r="F14" s="39" t="s">
        <v>285</v>
      </c>
      <c r="G14" s="39" t="s">
        <v>359</v>
      </c>
    </row>
    <row r="15" customFormat="false" ht="46.5" hidden="false" customHeight="true" outlineLevel="0" collapsed="false">
      <c r="A15" s="39" t="s">
        <v>388</v>
      </c>
      <c r="B15" s="39" t="s">
        <v>11</v>
      </c>
      <c r="C15" s="39" t="s">
        <v>389</v>
      </c>
      <c r="D15" s="39" t="s">
        <v>166</v>
      </c>
      <c r="E15" s="40" t="s">
        <v>390</v>
      </c>
      <c r="F15" s="39" t="s">
        <v>285</v>
      </c>
      <c r="G15" s="39" t="s">
        <v>359</v>
      </c>
    </row>
    <row r="16" customFormat="false" ht="46.5" hidden="false" customHeight="true" outlineLevel="0" collapsed="false">
      <c r="A16" s="39" t="s">
        <v>391</v>
      </c>
      <c r="B16" s="39" t="s">
        <v>11</v>
      </c>
      <c r="C16" s="39" t="s">
        <v>392</v>
      </c>
      <c r="D16" s="39" t="s">
        <v>393</v>
      </c>
      <c r="E16" s="40" t="s">
        <v>394</v>
      </c>
      <c r="F16" s="39" t="s">
        <v>285</v>
      </c>
      <c r="G16" s="39" t="s">
        <v>359</v>
      </c>
    </row>
    <row r="17" customFormat="false" ht="46.5" hidden="false" customHeight="true" outlineLevel="0" collapsed="false">
      <c r="A17" s="39" t="s">
        <v>395</v>
      </c>
      <c r="B17" s="39" t="s">
        <v>11</v>
      </c>
      <c r="C17" s="39" t="s">
        <v>396</v>
      </c>
      <c r="D17" s="39" t="s">
        <v>397</v>
      </c>
      <c r="E17" s="40" t="s">
        <v>398</v>
      </c>
      <c r="F17" s="39" t="s">
        <v>285</v>
      </c>
      <c r="G17" s="39" t="s">
        <v>359</v>
      </c>
    </row>
    <row r="18" customFormat="false" ht="46.5" hidden="false" customHeight="true" outlineLevel="0" collapsed="false">
      <c r="A18" s="39" t="s">
        <v>399</v>
      </c>
      <c r="B18" s="39" t="s">
        <v>11</v>
      </c>
      <c r="C18" s="39" t="s">
        <v>400</v>
      </c>
      <c r="D18" s="39" t="s">
        <v>111</v>
      </c>
      <c r="E18" s="40" t="s">
        <v>401</v>
      </c>
      <c r="F18" s="39" t="s">
        <v>285</v>
      </c>
      <c r="G18" s="39" t="s">
        <v>359</v>
      </c>
    </row>
    <row r="19" customFormat="false" ht="46.5" hidden="false" customHeight="true" outlineLevel="0" collapsed="false">
      <c r="A19" s="39" t="s">
        <v>402</v>
      </c>
      <c r="B19" s="39" t="s">
        <v>11</v>
      </c>
      <c r="C19" s="39" t="s">
        <v>403</v>
      </c>
      <c r="D19" s="39" t="s">
        <v>158</v>
      </c>
      <c r="E19" s="40" t="s">
        <v>404</v>
      </c>
      <c r="F19" s="39" t="s">
        <v>285</v>
      </c>
      <c r="G19" s="39" t="s">
        <v>359</v>
      </c>
    </row>
    <row r="20" customFormat="false" ht="46.5" hidden="false" customHeight="true" outlineLevel="0" collapsed="false">
      <c r="A20" s="39" t="s">
        <v>405</v>
      </c>
      <c r="B20" s="39" t="s">
        <v>11</v>
      </c>
      <c r="C20" s="39" t="s">
        <v>406</v>
      </c>
      <c r="D20" s="39" t="s">
        <v>407</v>
      </c>
      <c r="E20" s="40" t="s">
        <v>408</v>
      </c>
      <c r="F20" s="39" t="s">
        <v>285</v>
      </c>
      <c r="G20" s="39" t="s">
        <v>359</v>
      </c>
    </row>
    <row r="21" customFormat="false" ht="46.5" hidden="false" customHeight="true" outlineLevel="0" collapsed="false">
      <c r="A21" s="39" t="s">
        <v>409</v>
      </c>
      <c r="B21" s="39" t="s">
        <v>11</v>
      </c>
      <c r="C21" s="39" t="s">
        <v>410</v>
      </c>
      <c r="D21" s="39" t="s">
        <v>113</v>
      </c>
      <c r="E21" s="40" t="s">
        <v>411</v>
      </c>
      <c r="F21" s="39" t="s">
        <v>285</v>
      </c>
      <c r="G21" s="39" t="s">
        <v>359</v>
      </c>
    </row>
    <row r="22" customFormat="false" ht="46.5" hidden="false" customHeight="true" outlineLevel="0" collapsed="false">
      <c r="A22" s="39" t="s">
        <v>412</v>
      </c>
      <c r="B22" s="39" t="s">
        <v>11</v>
      </c>
      <c r="C22" s="39" t="s">
        <v>413</v>
      </c>
      <c r="D22" s="39" t="s">
        <v>414</v>
      </c>
      <c r="E22" s="40" t="s">
        <v>415</v>
      </c>
      <c r="F22" s="39" t="s">
        <v>285</v>
      </c>
      <c r="G22" s="39" t="s">
        <v>359</v>
      </c>
    </row>
    <row r="23" customFormat="false" ht="46.5" hidden="false" customHeight="true" outlineLevel="0" collapsed="false">
      <c r="A23" s="39" t="s">
        <v>416</v>
      </c>
      <c r="B23" s="39" t="s">
        <v>12</v>
      </c>
      <c r="C23" s="39" t="s">
        <v>417</v>
      </c>
      <c r="D23" s="39" t="s">
        <v>418</v>
      </c>
      <c r="E23" s="40" t="s">
        <v>302</v>
      </c>
      <c r="F23" s="39" t="s">
        <v>285</v>
      </c>
      <c r="G23" s="39" t="s">
        <v>359</v>
      </c>
    </row>
    <row r="24" customFormat="false" ht="46.5" hidden="false" customHeight="true" outlineLevel="0" collapsed="false">
      <c r="A24" s="39" t="s">
        <v>419</v>
      </c>
      <c r="B24" s="39" t="s">
        <v>12</v>
      </c>
      <c r="C24" s="39" t="s">
        <v>420</v>
      </c>
      <c r="D24" s="39" t="s">
        <v>129</v>
      </c>
      <c r="E24" s="40" t="s">
        <v>421</v>
      </c>
      <c r="F24" s="39" t="s">
        <v>285</v>
      </c>
      <c r="G24" s="39" t="s">
        <v>359</v>
      </c>
    </row>
    <row r="25" customFormat="false" ht="46.5" hidden="false" customHeight="true" outlineLevel="0" collapsed="false">
      <c r="A25" s="39" t="s">
        <v>422</v>
      </c>
      <c r="B25" s="39" t="s">
        <v>12</v>
      </c>
      <c r="C25" s="39" t="s">
        <v>423</v>
      </c>
      <c r="D25" s="39" t="s">
        <v>129</v>
      </c>
      <c r="E25" s="40" t="s">
        <v>424</v>
      </c>
      <c r="F25" s="39" t="s">
        <v>285</v>
      </c>
      <c r="G25" s="39" t="s">
        <v>359</v>
      </c>
    </row>
    <row r="26" customFormat="false" ht="46.5" hidden="false" customHeight="true" outlineLevel="0" collapsed="false">
      <c r="A26" s="39" t="s">
        <v>425</v>
      </c>
      <c r="B26" s="39" t="s">
        <v>12</v>
      </c>
      <c r="C26" s="39" t="s">
        <v>426</v>
      </c>
      <c r="D26" s="39" t="s">
        <v>427</v>
      </c>
      <c r="E26" s="40" t="s">
        <v>428</v>
      </c>
      <c r="F26" s="39" t="s">
        <v>285</v>
      </c>
      <c r="G26" s="39" t="s">
        <v>359</v>
      </c>
    </row>
    <row r="27" customFormat="false" ht="46.5" hidden="false" customHeight="true" outlineLevel="0" collapsed="false">
      <c r="A27" s="39" t="s">
        <v>429</v>
      </c>
      <c r="B27" s="39" t="s">
        <v>12</v>
      </c>
      <c r="C27" s="39" t="s">
        <v>430</v>
      </c>
      <c r="D27" s="39" t="s">
        <v>431</v>
      </c>
      <c r="E27" s="40" t="s">
        <v>432</v>
      </c>
      <c r="F27" s="39" t="s">
        <v>285</v>
      </c>
      <c r="G27" s="39" t="s">
        <v>359</v>
      </c>
    </row>
    <row r="28" customFormat="false" ht="46.5" hidden="false" customHeight="true" outlineLevel="0" collapsed="false">
      <c r="A28" s="39" t="s">
        <v>433</v>
      </c>
      <c r="B28" s="39" t="s">
        <v>12</v>
      </c>
      <c r="C28" s="39" t="s">
        <v>434</v>
      </c>
      <c r="D28" s="39" t="s">
        <v>435</v>
      </c>
      <c r="E28" s="40" t="s">
        <v>436</v>
      </c>
      <c r="F28" s="39" t="s">
        <v>285</v>
      </c>
      <c r="G28" s="39" t="s">
        <v>359</v>
      </c>
    </row>
    <row r="29" customFormat="false" ht="46.5" hidden="false" customHeight="true" outlineLevel="0" collapsed="false">
      <c r="A29" s="39" t="s">
        <v>437</v>
      </c>
      <c r="B29" s="39" t="s">
        <v>12</v>
      </c>
      <c r="C29" s="39" t="s">
        <v>438</v>
      </c>
      <c r="D29" s="39" t="s">
        <v>171</v>
      </c>
      <c r="E29" s="40" t="s">
        <v>439</v>
      </c>
      <c r="F29" s="39" t="s">
        <v>285</v>
      </c>
      <c r="G29" s="39" t="s">
        <v>359</v>
      </c>
    </row>
    <row r="30" customFormat="false" ht="46.5" hidden="false" customHeight="true" outlineLevel="0" collapsed="false">
      <c r="A30" s="39" t="s">
        <v>440</v>
      </c>
      <c r="B30" s="39" t="s">
        <v>14</v>
      </c>
      <c r="C30" s="39" t="s">
        <v>441</v>
      </c>
      <c r="D30" s="39" t="s">
        <v>414</v>
      </c>
      <c r="E30" s="40" t="s">
        <v>442</v>
      </c>
      <c r="F30" s="39" t="s">
        <v>285</v>
      </c>
      <c r="G30" s="39" t="s">
        <v>359</v>
      </c>
    </row>
    <row r="31" customFormat="false" ht="46.5" hidden="false" customHeight="true" outlineLevel="0" collapsed="false">
      <c r="A31" s="39" t="s">
        <v>443</v>
      </c>
      <c r="B31" s="39" t="s">
        <v>14</v>
      </c>
      <c r="C31" s="39" t="s">
        <v>444</v>
      </c>
      <c r="D31" s="39" t="s">
        <v>445</v>
      </c>
      <c r="E31" s="40" t="s">
        <v>309</v>
      </c>
      <c r="F31" s="39" t="s">
        <v>285</v>
      </c>
      <c r="G31" s="39" t="s">
        <v>359</v>
      </c>
    </row>
    <row r="32" customFormat="false" ht="46.5" hidden="false" customHeight="true" outlineLevel="0" collapsed="false">
      <c r="A32" s="39" t="s">
        <v>446</v>
      </c>
      <c r="B32" s="39" t="s">
        <v>14</v>
      </c>
      <c r="C32" s="39" t="s">
        <v>447</v>
      </c>
      <c r="D32" s="39" t="s">
        <v>448</v>
      </c>
      <c r="E32" s="40" t="s">
        <v>449</v>
      </c>
      <c r="F32" s="39" t="s">
        <v>285</v>
      </c>
      <c r="G32" s="39" t="s">
        <v>359</v>
      </c>
    </row>
    <row r="33" customFormat="false" ht="46.5" hidden="false" customHeight="true" outlineLevel="0" collapsed="false">
      <c r="A33" s="39" t="s">
        <v>450</v>
      </c>
      <c r="B33" s="39" t="s">
        <v>14</v>
      </c>
      <c r="C33" s="39" t="s">
        <v>451</v>
      </c>
      <c r="D33" s="39" t="s">
        <v>145</v>
      </c>
      <c r="E33" s="40" t="s">
        <v>452</v>
      </c>
      <c r="F33" s="39" t="s">
        <v>285</v>
      </c>
      <c r="G33" s="39" t="s">
        <v>359</v>
      </c>
    </row>
    <row r="34" customFormat="false" ht="46.5" hidden="false" customHeight="true" outlineLevel="0" collapsed="false">
      <c r="A34" s="39" t="s">
        <v>453</v>
      </c>
      <c r="B34" s="39" t="s">
        <v>14</v>
      </c>
      <c r="C34" s="39" t="s">
        <v>454</v>
      </c>
      <c r="D34" s="39" t="s">
        <v>455</v>
      </c>
      <c r="E34" s="40" t="s">
        <v>456</v>
      </c>
      <c r="F34" s="39" t="s">
        <v>285</v>
      </c>
      <c r="G34" s="39" t="s">
        <v>359</v>
      </c>
    </row>
    <row r="35" customFormat="false" ht="46.5" hidden="false" customHeight="true" outlineLevel="0" collapsed="false">
      <c r="A35" s="39" t="s">
        <v>457</v>
      </c>
      <c r="B35" s="39" t="s">
        <v>14</v>
      </c>
      <c r="C35" s="39" t="s">
        <v>458</v>
      </c>
      <c r="D35" s="39" t="s">
        <v>131</v>
      </c>
      <c r="E35" s="40" t="s">
        <v>459</v>
      </c>
      <c r="F35" s="39" t="s">
        <v>285</v>
      </c>
      <c r="G35" s="39" t="s">
        <v>359</v>
      </c>
    </row>
    <row r="36" customFormat="false" ht="46.5" hidden="false" customHeight="true" outlineLevel="0" collapsed="false">
      <c r="A36" s="39" t="s">
        <v>460</v>
      </c>
      <c r="B36" s="39" t="s">
        <v>14</v>
      </c>
      <c r="C36" s="39" t="s">
        <v>461</v>
      </c>
      <c r="D36" s="39" t="s">
        <v>171</v>
      </c>
      <c r="E36" s="40" t="s">
        <v>462</v>
      </c>
      <c r="F36" s="39" t="s">
        <v>285</v>
      </c>
      <c r="G36" s="39" t="s">
        <v>359</v>
      </c>
    </row>
    <row r="37" customFormat="false" ht="46.5" hidden="false" customHeight="true" outlineLevel="0" collapsed="false">
      <c r="A37" s="39" t="s">
        <v>463</v>
      </c>
      <c r="B37" s="39" t="s">
        <v>14</v>
      </c>
      <c r="C37" s="39" t="s">
        <v>464</v>
      </c>
      <c r="D37" s="39" t="s">
        <v>164</v>
      </c>
      <c r="E37" s="40" t="s">
        <v>465</v>
      </c>
      <c r="F37" s="39" t="s">
        <v>285</v>
      </c>
      <c r="G37" s="39" t="s">
        <v>359</v>
      </c>
    </row>
    <row r="38" customFormat="false" ht="46.5" hidden="false" customHeight="true" outlineLevel="0" collapsed="false">
      <c r="A38" s="39" t="s">
        <v>466</v>
      </c>
      <c r="B38" s="39" t="s">
        <v>14</v>
      </c>
      <c r="C38" s="39" t="s">
        <v>467</v>
      </c>
      <c r="D38" s="39" t="s">
        <v>435</v>
      </c>
      <c r="E38" s="40" t="s">
        <v>468</v>
      </c>
      <c r="F38" s="39" t="s">
        <v>285</v>
      </c>
      <c r="G38" s="39" t="s">
        <v>359</v>
      </c>
    </row>
    <row r="39" customFormat="false" ht="46.5" hidden="false" customHeight="true" outlineLevel="0" collapsed="false">
      <c r="A39" s="39" t="s">
        <v>469</v>
      </c>
      <c r="B39" s="39" t="s">
        <v>16</v>
      </c>
      <c r="C39" s="39" t="s">
        <v>470</v>
      </c>
      <c r="D39" s="39" t="s">
        <v>471</v>
      </c>
      <c r="E39" s="40" t="s">
        <v>316</v>
      </c>
      <c r="F39" s="39" t="s">
        <v>285</v>
      </c>
      <c r="G39" s="39" t="s">
        <v>359</v>
      </c>
    </row>
    <row r="40" customFormat="false" ht="46.5" hidden="false" customHeight="true" outlineLevel="0" collapsed="false">
      <c r="A40" s="39" t="s">
        <v>472</v>
      </c>
      <c r="B40" s="39" t="s">
        <v>16</v>
      </c>
      <c r="C40" s="39" t="s">
        <v>473</v>
      </c>
      <c r="D40" s="39" t="s">
        <v>474</v>
      </c>
      <c r="E40" s="40" t="s">
        <v>475</v>
      </c>
      <c r="F40" s="39" t="s">
        <v>285</v>
      </c>
      <c r="G40" s="39" t="s">
        <v>359</v>
      </c>
    </row>
    <row r="41" customFormat="false" ht="46.5" hidden="false" customHeight="true" outlineLevel="0" collapsed="false">
      <c r="A41" s="39" t="s">
        <v>476</v>
      </c>
      <c r="B41" s="39" t="s">
        <v>16</v>
      </c>
      <c r="C41" s="39" t="s">
        <v>477</v>
      </c>
      <c r="D41" s="39" t="s">
        <v>414</v>
      </c>
      <c r="E41" s="40" t="s">
        <v>478</v>
      </c>
      <c r="F41" s="39" t="s">
        <v>285</v>
      </c>
      <c r="G41" s="39" t="s">
        <v>359</v>
      </c>
    </row>
    <row r="42" customFormat="false" ht="46.5" hidden="false" customHeight="true" outlineLevel="0" collapsed="false">
      <c r="A42" s="39" t="s">
        <v>479</v>
      </c>
      <c r="B42" s="39" t="s">
        <v>16</v>
      </c>
      <c r="C42" s="39" t="s">
        <v>480</v>
      </c>
      <c r="D42" s="39" t="s">
        <v>414</v>
      </c>
      <c r="E42" s="40" t="s">
        <v>481</v>
      </c>
      <c r="F42" s="39" t="s">
        <v>285</v>
      </c>
      <c r="G42" s="39" t="s">
        <v>359</v>
      </c>
    </row>
    <row r="43" customFormat="false" ht="46.5" hidden="false" customHeight="true" outlineLevel="0" collapsed="false">
      <c r="A43" s="39" t="s">
        <v>482</v>
      </c>
      <c r="B43" s="39" t="s">
        <v>16</v>
      </c>
      <c r="C43" s="39" t="s">
        <v>483</v>
      </c>
      <c r="D43" s="39" t="s">
        <v>484</v>
      </c>
      <c r="E43" s="40" t="s">
        <v>485</v>
      </c>
      <c r="F43" s="39" t="s">
        <v>285</v>
      </c>
      <c r="G43" s="39" t="s">
        <v>359</v>
      </c>
    </row>
    <row r="44" customFormat="false" ht="46.5" hidden="false" customHeight="true" outlineLevel="0" collapsed="false">
      <c r="A44" s="39" t="s">
        <v>486</v>
      </c>
      <c r="B44" s="39" t="s">
        <v>16</v>
      </c>
      <c r="C44" s="39" t="s">
        <v>487</v>
      </c>
      <c r="D44" s="39" t="s">
        <v>488</v>
      </c>
      <c r="E44" s="40" t="s">
        <v>489</v>
      </c>
      <c r="F44" s="39" t="s">
        <v>285</v>
      </c>
      <c r="G44" s="39" t="s">
        <v>359</v>
      </c>
    </row>
    <row r="45" customFormat="false" ht="46.5" hidden="false" customHeight="true" outlineLevel="0" collapsed="false">
      <c r="A45" s="39" t="s">
        <v>490</v>
      </c>
      <c r="B45" s="39" t="s">
        <v>16</v>
      </c>
      <c r="C45" s="39" t="s">
        <v>491</v>
      </c>
      <c r="D45" s="39" t="s">
        <v>151</v>
      </c>
      <c r="E45" s="40" t="s">
        <v>492</v>
      </c>
      <c r="F45" s="39" t="s">
        <v>285</v>
      </c>
      <c r="G45" s="39" t="s">
        <v>359</v>
      </c>
    </row>
    <row r="46" customFormat="false" ht="46.5" hidden="false" customHeight="true" outlineLevel="0" collapsed="false">
      <c r="A46" s="39" t="s">
        <v>493</v>
      </c>
      <c r="B46" s="39" t="s">
        <v>16</v>
      </c>
      <c r="C46" s="39" t="s">
        <v>494</v>
      </c>
      <c r="D46" s="39" t="s">
        <v>171</v>
      </c>
      <c r="E46" s="40" t="s">
        <v>495</v>
      </c>
      <c r="F46" s="39" t="s">
        <v>285</v>
      </c>
      <c r="G46" s="39" t="s">
        <v>359</v>
      </c>
    </row>
    <row r="47" customFormat="false" ht="60.75" hidden="false" customHeight="true" outlineLevel="0" collapsed="false">
      <c r="A47" s="39" t="s">
        <v>496</v>
      </c>
      <c r="B47" s="39" t="s">
        <v>497</v>
      </c>
      <c r="C47" s="39" t="s">
        <v>498</v>
      </c>
      <c r="D47" s="39" t="s">
        <v>499</v>
      </c>
      <c r="E47" s="39" t="s">
        <v>500</v>
      </c>
      <c r="F47" s="39" t="s">
        <v>326</v>
      </c>
      <c r="G47" s="39" t="s">
        <v>501</v>
      </c>
    </row>
    <row r="48" customFormat="false" ht="31.5" hidden="false" customHeight="true" outlineLevel="0" collapsed="false">
      <c r="A48" s="39" t="s">
        <v>502</v>
      </c>
      <c r="B48" s="39" t="s">
        <v>503</v>
      </c>
      <c r="C48" s="39" t="s">
        <v>504</v>
      </c>
      <c r="D48" s="39" t="s">
        <v>414</v>
      </c>
      <c r="E48" s="39" t="s">
        <v>500</v>
      </c>
      <c r="F48" s="39" t="s">
        <v>326</v>
      </c>
      <c r="G48" s="39" t="s">
        <v>505</v>
      </c>
    </row>
    <row r="50" customFormat="false" ht="15" hidden="false" customHeight="false" outlineLevel="0" collapsed="false">
      <c r="A50" s="21" t="s">
        <v>506</v>
      </c>
    </row>
    <row r="51" customFormat="false" ht="31.5" hidden="false" customHeight="true" outlineLevel="0" collapsed="false">
      <c r="A51" s="39" t="s">
        <v>507</v>
      </c>
      <c r="B51" s="39" t="s">
        <v>12</v>
      </c>
      <c r="C51" s="39" t="s">
        <v>508</v>
      </c>
    </row>
    <row r="52" customFormat="false" ht="31.5" hidden="false" customHeight="true" outlineLevel="0" collapsed="false">
      <c r="A52" s="39" t="s">
        <v>509</v>
      </c>
      <c r="B52" s="39" t="s">
        <v>14</v>
      </c>
      <c r="C52" s="39" t="s">
        <v>510</v>
      </c>
    </row>
    <row r="53" customFormat="false" ht="31.5" hidden="false" customHeight="true" outlineLevel="0" collapsed="false">
      <c r="A53" s="39" t="s">
        <v>511</v>
      </c>
      <c r="B53" s="39" t="s">
        <v>9</v>
      </c>
      <c r="C53" s="39" t="s">
        <v>512</v>
      </c>
    </row>
    <row r="54" customFormat="false" ht="17.25" hidden="false" customHeight="true" outlineLevel="0" collapsed="false">
      <c r="A54" s="39" t="s">
        <v>513</v>
      </c>
      <c r="B54" s="39" t="s">
        <v>16</v>
      </c>
      <c r="C54" s="39" t="s">
        <v>514</v>
      </c>
    </row>
    <row r="55" customFormat="false" ht="31.5" hidden="false" customHeight="true" outlineLevel="0" collapsed="false">
      <c r="A55" s="39" t="s">
        <v>515</v>
      </c>
      <c r="B55" s="39" t="s">
        <v>516</v>
      </c>
      <c r="C55" s="39" t="s">
        <v>517</v>
      </c>
    </row>
    <row r="56" customFormat="false" ht="46.5" hidden="false" customHeight="true" outlineLevel="0" collapsed="false">
      <c r="A56" s="39" t="s">
        <v>518</v>
      </c>
      <c r="B56" s="39" t="s">
        <v>519</v>
      </c>
      <c r="C56" s="39" t="s">
        <v>520</v>
      </c>
    </row>
  </sheetData>
  <hyperlinks>
    <hyperlink ref="E5" r:id="rId1" display="https://www.wes.org/resource-library/blog/credential-advice/why-upgrade-to-cxc-report/"/>
    <hyperlink ref="E6" r:id="rId2" display="https://www.wes.org/credential-evaluation-for-employment/"/>
    <hyperlink ref="E7" r:id="rId3" display="https://www.wes.org/evaluations/"/>
    <hyperlink ref="E8" r:id="rId4" display="https://www.wes.org/current-processing/"/>
    <hyperlink ref="E9" r:id="rId5" display="https://www.wes.org/resource-library/blog/credential-advice/verification-status/"/>
    <hyperlink ref="E10" r:id="rId6" display="https://www.wes.org/resource-library/blog/credential-advice/understanding-required-documents-for-credential-evaluation/"/>
    <hyperlink ref="E11" r:id="rId7" display="https://www.wes.org/send-electronic-academic-records/"/>
    <hyperlink ref="E12" r:id="rId8" display="https://www.wes.org/social-impact/programming/wes-gateway-program/"/>
    <hyperlink ref="E13" r:id="rId9" display="https://www.wes.org/resource-library/blog/credential-advice/the-difference-between-document-by-document-and-course-by-course-credential-evaluation-reports/"/>
    <hyperlink ref="E14" r:id="rId10" display="https://www.ece.org/ECE/Credential-Evaluations/US-Institutions/Services-and-Fees"/>
    <hyperlink ref="E15" r:id="rId11" display="https://www.ece.org/ECE/Credential-Evaluations/Individual-FAQs"/>
    <hyperlink ref="E16" r:id="rId12" display="https://www.ece.org/ECE/Credential-Evaluations/Documentation-Requirements"/>
    <hyperlink ref="E17" r:id="rId13" display="https://www.ece.org/ECE/ECE-Aid"/>
    <hyperlink ref="E18" r:id="rId14" display="https://www.ece.org/ECE/Institutions-and-Agencies/MAPs"/>
    <hyperlink ref="E19" r:id="rId15" display="https://www.ece.org/ECE/Institutions-and-Agencies/ECE-Dispatch-Login"/>
    <hyperlink ref="E20" r:id="rId16" display="https://www.ece.org/Blogs/The-ECE-Foreign-Transcript-Evaluation-Process.htm"/>
    <hyperlink ref="E21" r:id="rId17" display="https://www.ece.org/ECE/Institutions-and-Agencies/Institution-Reports/Doc-Authentication-Reports"/>
    <hyperlink ref="E22" r:id="rId18" display="https://www.ece.org/Blogs/ECE-is-a-nonprofit-organization.htm"/>
    <hyperlink ref="E23" r:id="rId19" display="https://www.curriculumassociates.com/programs/i-ready-assessment/diagnostic"/>
    <hyperlink ref="E24" r:id="rId20" display="https://www.curriculumassociates.com/programs/i-ready-assessment/admin-resources/spanish-assessment"/>
    <hyperlink ref="E25" r:id="rId21" display="https://www.curriculumassociates.com/programs/i-ready-assessment/adaptive-spanish-reading"/>
    <hyperlink ref="E26" r:id="rId22" display="https://www.curriculumassociates.com/family"/>
    <hyperlink ref="E27" r:id="rId23" display="https://www.curriculumassociates.com/programs/i-ready-learning/personalized-instruction"/>
    <hyperlink ref="E28" r:id="rId24" display="https://www.curriculumassociates.com/programs/i-ready-learning/personalized-instruction/purchasing"/>
    <hyperlink ref="E29" r:id="rId25" display="https://www.curriculumassociates.com/privacy/i-ready"/>
    <hyperlink ref="E30" r:id="rId26" display="https://www.curriculumassociates.com/about/press-releases/2021/07/ellevation-press-release"/>
    <hyperlink ref="E31" r:id="rId27" display="https://ellevationeducation.com/product/ellevation-platform"/>
    <hyperlink ref="E32" r:id="rId28" display="https://ellevationeducation.com/product/ellevation-platform/default"/>
    <hyperlink ref="E33" r:id="rId29" display="https://ellevationeducation.com/family-communication"/>
    <hyperlink ref="E34" r:id="rId30" display="https://ellevationeducation.com/product/ellevation-strategies"/>
    <hyperlink ref="E35" r:id="rId31" display="https://ellevationeducation.com/blog/ellevation-benchmark-unified-eld-solution"/>
    <hyperlink ref="E36" r:id="rId32" display="https://ellevationeducation.com/security-and-privacy"/>
    <hyperlink ref="E37" r:id="rId33" display="https://ellevationeducation.com/faqs"/>
    <hyperlink ref="E38" r:id="rId34" display="https://ellevationeducation.com/buy-ellevation-funding"/>
    <hyperlink ref="E39" r:id="rId35" display="https://talkingpts.org/teachers/"/>
    <hyperlink ref="E40" r:id="rId36" display="https://talkingpts.org/blog/here-are-the-questions-everyone-always-asks-us-about-talkingpoints/11303/"/>
    <hyperlink ref="E41" r:id="rId37" display="https://talkingpts.org/blog/using-ai-and-technology-to-support-multilingual-students/13470/"/>
    <hyperlink ref="E42" r:id="rId38" display="https://talkingpts.org/about-us/"/>
    <hyperlink ref="E43" r:id="rId39" display="https://talkingpts.org/pdf/TalkingPoints-for-Schools-and-Districts.pdf"/>
    <hyperlink ref="E44" r:id="rId40" display="https://talkingpts.org/data-informed-guidance/"/>
    <hyperlink ref="E45" r:id="rId41" display="https://talkingpts.org/bts-25/"/>
    <hyperlink ref="E46" r:id="rId42" display="https://talkingpts.org/privacy-and-security/"/>
  </hyperlink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2026-10-05T15:21:15Z</dcterms:created>
  <dc:creator>openpyxl</dc:creator>
  <dc:description/>
  <dc:language>en-US</dc:language>
  <cp:lastModifiedBy/>
  <dcterms:modified xsi:type="dcterms:W3CDTF">2026-10-05T15:21:17Z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